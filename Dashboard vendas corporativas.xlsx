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hais\Downloads\"/>
    </mc:Choice>
  </mc:AlternateContent>
  <xr:revisionPtr revIDLastSave="0" documentId="13_ncr:1_{C3200441-08A2-4AA9-A3D4-A52691A506A1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Dashboard" sheetId="1" r:id="rId1"/>
    <sheet name="Dados" sheetId="2" r:id="rId2"/>
    <sheet name="Cálculos" sheetId="3" r:id="rId3"/>
  </sheets>
  <externalReferences>
    <externalReference r:id="rId4"/>
  </externalReferenc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4" i="1" l="1"/>
  <c r="G23" i="1"/>
  <c r="G24" i="1"/>
  <c r="G25" i="1"/>
  <c r="G26" i="1"/>
  <c r="G27" i="1"/>
  <c r="G28" i="1"/>
  <c r="G29" i="1"/>
  <c r="G30" i="1"/>
  <c r="G31" i="1"/>
  <c r="G32" i="1"/>
  <c r="G33" i="1"/>
  <c r="G22" i="1"/>
  <c r="F33" i="1"/>
  <c r="F32" i="1"/>
  <c r="F31" i="1"/>
  <c r="F30" i="1"/>
  <c r="F29" i="1"/>
  <c r="F28" i="1"/>
  <c r="F27" i="1"/>
  <c r="F26" i="1"/>
  <c r="F25" i="1"/>
  <c r="F24" i="1"/>
  <c r="F23" i="1"/>
  <c r="F22" i="1"/>
  <c r="C11" i="3"/>
  <c r="C12" i="3"/>
  <c r="C13" i="3"/>
  <c r="C14" i="3"/>
  <c r="C15" i="3"/>
  <c r="C16" i="3"/>
  <c r="C17" i="3"/>
  <c r="C18" i="3"/>
  <c r="C19" i="3"/>
  <c r="C20" i="3"/>
  <c r="C21" i="3"/>
  <c r="C10" i="3"/>
  <c r="B9" i="1"/>
  <c r="H121" i="2"/>
  <c r="B121" i="2"/>
  <c r="H120" i="2"/>
  <c r="B120" i="2"/>
  <c r="H119" i="2"/>
  <c r="B119" i="2"/>
  <c r="H118" i="2"/>
  <c r="B118" i="2"/>
  <c r="H117" i="2"/>
  <c r="B117" i="2"/>
  <c r="H116" i="2"/>
  <c r="B116" i="2"/>
  <c r="H115" i="2"/>
  <c r="B115" i="2"/>
  <c r="H114" i="2"/>
  <c r="B114" i="2"/>
  <c r="H113" i="2"/>
  <c r="B113" i="2"/>
  <c r="H112" i="2"/>
  <c r="B112" i="2"/>
  <c r="H111" i="2"/>
  <c r="B111" i="2"/>
  <c r="H110" i="2"/>
  <c r="B110" i="2"/>
  <c r="H109" i="2"/>
  <c r="B109" i="2"/>
  <c r="H108" i="2"/>
  <c r="B108" i="2"/>
  <c r="H107" i="2"/>
  <c r="B107" i="2"/>
  <c r="H106" i="2"/>
  <c r="B106" i="2"/>
  <c r="H105" i="2"/>
  <c r="B105" i="2"/>
  <c r="H104" i="2"/>
  <c r="B104" i="2"/>
  <c r="H103" i="2"/>
  <c r="B103" i="2"/>
  <c r="H102" i="2"/>
  <c r="B102" i="2"/>
  <c r="H101" i="2"/>
  <c r="B101" i="2"/>
  <c r="H100" i="2"/>
  <c r="B100" i="2"/>
  <c r="H99" i="2"/>
  <c r="B99" i="2"/>
  <c r="H98" i="2"/>
  <c r="B98" i="2"/>
  <c r="H97" i="2"/>
  <c r="B97" i="2"/>
  <c r="H96" i="2"/>
  <c r="B96" i="2"/>
  <c r="H95" i="2"/>
  <c r="B95" i="2"/>
  <c r="H94" i="2"/>
  <c r="B94" i="2"/>
  <c r="H93" i="2"/>
  <c r="B93" i="2"/>
  <c r="H92" i="2"/>
  <c r="B92" i="2"/>
  <c r="H91" i="2"/>
  <c r="B91" i="2"/>
  <c r="H90" i="2"/>
  <c r="B90" i="2"/>
  <c r="H89" i="2"/>
  <c r="B89" i="2"/>
  <c r="H88" i="2"/>
  <c r="B88" i="2"/>
  <c r="H87" i="2"/>
  <c r="B87" i="2"/>
  <c r="H86" i="2"/>
  <c r="B86" i="2"/>
  <c r="H85" i="2"/>
  <c r="B85" i="2"/>
  <c r="H84" i="2"/>
  <c r="B84" i="2"/>
  <c r="H83" i="2"/>
  <c r="B83" i="2"/>
  <c r="H82" i="2"/>
  <c r="B82" i="2"/>
  <c r="H81" i="2"/>
  <c r="B81" i="2"/>
  <c r="H80" i="2"/>
  <c r="B80" i="2"/>
  <c r="H79" i="2"/>
  <c r="B79" i="2"/>
  <c r="H78" i="2"/>
  <c r="B78" i="2"/>
  <c r="H77" i="2"/>
  <c r="B77" i="2"/>
  <c r="H76" i="2"/>
  <c r="B76" i="2"/>
  <c r="H75" i="2"/>
  <c r="B75" i="2"/>
  <c r="H74" i="2"/>
  <c r="B74" i="2"/>
  <c r="H73" i="2"/>
  <c r="B73" i="2"/>
  <c r="H72" i="2"/>
  <c r="B72" i="2"/>
  <c r="H71" i="2"/>
  <c r="B71" i="2"/>
  <c r="H70" i="2"/>
  <c r="B70" i="2"/>
  <c r="H69" i="2"/>
  <c r="B69" i="2"/>
  <c r="H68" i="2"/>
  <c r="B68" i="2"/>
  <c r="H67" i="2"/>
  <c r="B67" i="2"/>
  <c r="H66" i="2"/>
  <c r="B66" i="2"/>
  <c r="H65" i="2"/>
  <c r="B65" i="2"/>
  <c r="H64" i="2"/>
  <c r="B64" i="2"/>
  <c r="H63" i="2"/>
  <c r="B63" i="2"/>
  <c r="H62" i="2"/>
  <c r="B62" i="2"/>
  <c r="H61" i="2"/>
  <c r="B61" i="2"/>
  <c r="H60" i="2"/>
  <c r="B60" i="2"/>
  <c r="H59" i="2"/>
  <c r="B59" i="2"/>
  <c r="H58" i="2"/>
  <c r="B58" i="2"/>
  <c r="H57" i="2"/>
  <c r="B57" i="2"/>
  <c r="H56" i="2"/>
  <c r="B56" i="2"/>
  <c r="H55" i="2"/>
  <c r="B55" i="2"/>
  <c r="H54" i="2"/>
  <c r="B54" i="2"/>
  <c r="H53" i="2"/>
  <c r="B53" i="2"/>
  <c r="H52" i="2"/>
  <c r="B52" i="2"/>
  <c r="H51" i="2"/>
  <c r="B51" i="2"/>
  <c r="H50" i="2"/>
  <c r="B50" i="2"/>
  <c r="H49" i="2"/>
  <c r="B49" i="2"/>
  <c r="H48" i="2"/>
  <c r="B48" i="2"/>
  <c r="H47" i="2"/>
  <c r="B47" i="2"/>
  <c r="H46" i="2"/>
  <c r="B46" i="2"/>
  <c r="H45" i="2"/>
  <c r="B45" i="2"/>
  <c r="H44" i="2"/>
  <c r="B44" i="2"/>
  <c r="H43" i="2"/>
  <c r="B43" i="2"/>
  <c r="H42" i="2"/>
  <c r="B42" i="2"/>
  <c r="H41" i="2"/>
  <c r="B41" i="2"/>
  <c r="H40" i="2"/>
  <c r="B40" i="2"/>
  <c r="H39" i="2"/>
  <c r="B39" i="2"/>
  <c r="H38" i="2"/>
  <c r="B38" i="2"/>
  <c r="H37" i="2"/>
  <c r="B37" i="2"/>
  <c r="H36" i="2"/>
  <c r="B36" i="2"/>
  <c r="H35" i="2"/>
  <c r="B35" i="2"/>
  <c r="H34" i="2"/>
  <c r="B34" i="2"/>
  <c r="H33" i="2"/>
  <c r="B33" i="2"/>
  <c r="H32" i="2"/>
  <c r="B32" i="2"/>
  <c r="H31" i="2"/>
  <c r="B31" i="2"/>
  <c r="H30" i="2"/>
  <c r="B30" i="2"/>
  <c r="H29" i="2"/>
  <c r="B29" i="2"/>
  <c r="H28" i="2"/>
  <c r="B28" i="2"/>
  <c r="H27" i="2"/>
  <c r="B27" i="2"/>
  <c r="H26" i="2"/>
  <c r="B26" i="2"/>
  <c r="H25" i="2"/>
  <c r="B25" i="2"/>
  <c r="H24" i="2"/>
  <c r="B24" i="2"/>
  <c r="H23" i="2"/>
  <c r="B23" i="2"/>
  <c r="H22" i="2"/>
  <c r="B22" i="2"/>
  <c r="H21" i="2"/>
  <c r="B21" i="2"/>
  <c r="H20" i="2"/>
  <c r="B20" i="2"/>
  <c r="H19" i="2"/>
  <c r="B19" i="2"/>
  <c r="H18" i="2"/>
  <c r="B18" i="2"/>
  <c r="H17" i="2"/>
  <c r="B17" i="2"/>
  <c r="H16" i="2"/>
  <c r="B16" i="2"/>
  <c r="H15" i="2"/>
  <c r="B15" i="2"/>
  <c r="H14" i="2"/>
  <c r="B14" i="2"/>
  <c r="H13" i="2"/>
  <c r="B13" i="2"/>
  <c r="H12" i="2"/>
  <c r="B12" i="2"/>
  <c r="H11" i="2"/>
  <c r="B11" i="2"/>
  <c r="H10" i="2"/>
  <c r="B10" i="2"/>
  <c r="H9" i="2"/>
  <c r="B9" i="2"/>
  <c r="H8" i="2"/>
  <c r="B8" i="2"/>
  <c r="H7" i="2"/>
  <c r="B7" i="2"/>
  <c r="H6" i="2"/>
  <c r="B6" i="2"/>
  <c r="H5" i="2"/>
  <c r="B5" i="2"/>
  <c r="H4" i="2"/>
  <c r="B4" i="2"/>
  <c r="H3" i="2"/>
  <c r="B3" i="2"/>
  <c r="H2" i="2"/>
  <c r="B2" i="2"/>
  <c r="D22" i="1"/>
  <c r="D21" i="1"/>
  <c r="D20" i="1"/>
  <c r="D19" i="1"/>
  <c r="D18" i="1"/>
  <c r="D17" i="1"/>
  <c r="D16" i="1"/>
  <c r="D15" i="1"/>
  <c r="D14" i="1"/>
  <c r="D13" i="1"/>
  <c r="D23" i="1" s="1"/>
  <c r="F7" i="1"/>
  <c r="B7" i="3"/>
  <c r="G17" i="1" s="1"/>
  <c r="B5" i="3" l="1"/>
  <c r="G15" i="1" s="1"/>
  <c r="B3" i="3"/>
  <c r="G13" i="1" s="1"/>
  <c r="B4" i="3"/>
  <c r="G14" i="1" s="1"/>
  <c r="B7" i="1"/>
  <c r="B6" i="3"/>
  <c r="G16" i="1" s="1"/>
  <c r="J7" i="1"/>
  <c r="N7" i="1" l="1"/>
</calcChain>
</file>

<file path=xl/sharedStrings.xml><?xml version="1.0" encoding="utf-8"?>
<sst xmlns="http://schemas.openxmlformats.org/spreadsheetml/2006/main" count="429" uniqueCount="55">
  <si>
    <t xml:space="preserve">  📊 DASHBOARD DE VENDAS CORPORATIVAS</t>
  </si>
  <si>
    <t>Filtrar por Mês:</t>
  </si>
  <si>
    <t>Todos</t>
  </si>
  <si>
    <t>FATURAMENTO TOTAL</t>
  </si>
  <si>
    <t>PRODUTOS VENDIDOS (QTD)</t>
  </si>
  <si>
    <t>TICKET MÉDIO</t>
  </si>
  <si>
    <t>MELHOR VENDEDOR</t>
  </si>
  <si>
    <t>DESEMPENHO POR PRODUTO</t>
  </si>
  <si>
    <t>Produto</t>
  </si>
  <si>
    <t>Faturamento</t>
  </si>
  <si>
    <t>% Participação</t>
  </si>
  <si>
    <t>Notebook Pro 14</t>
  </si>
  <si>
    <t>Monitor 24pol</t>
  </si>
  <si>
    <t>Cadeira Ergonômica</t>
  </si>
  <si>
    <t>Mesa de Escritório</t>
  </si>
  <si>
    <t>Teclado Mecânico</t>
  </si>
  <si>
    <t>Webcam HD</t>
  </si>
  <si>
    <t>Fone Bluetooth</t>
  </si>
  <si>
    <t>Mouse sem Fio</t>
  </si>
  <si>
    <t>Luminária LED</t>
  </si>
  <si>
    <t>Suporte para Notebook</t>
  </si>
  <si>
    <t>Total Geral</t>
  </si>
  <si>
    <t>Categoria</t>
  </si>
  <si>
    <t>Eletrônicos</t>
  </si>
  <si>
    <t>Móveis</t>
  </si>
  <si>
    <t>Acessórios</t>
  </si>
  <si>
    <t>Data</t>
  </si>
  <si>
    <t>Mês</t>
  </si>
  <si>
    <t>Vendedor</t>
  </si>
  <si>
    <t>Quantidade</t>
  </si>
  <si>
    <t>Valor Unitário</t>
  </si>
  <si>
    <t>Total</t>
  </si>
  <si>
    <t>Igor Martins</t>
  </si>
  <si>
    <t>Carla Mendes</t>
  </si>
  <si>
    <t>Bruno Lima</t>
  </si>
  <si>
    <t>Ana Souza</t>
  </si>
  <si>
    <t>Diego Santos</t>
  </si>
  <si>
    <t>Total_Vendido</t>
  </si>
  <si>
    <t>janeiro</t>
  </si>
  <si>
    <t>FATURAMENTO POR VENDEDOR</t>
  </si>
  <si>
    <t>VENDAS POR CATEGORIA</t>
  </si>
  <si>
    <t>EVOLUÇÃO MENSAL DO FATURAMENTO</t>
  </si>
  <si>
    <t>Nº</t>
  </si>
  <si>
    <t>Faturamento no Mês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</si>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</sst>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&quot;R$ &quot;#,##0.00"/>
    <numFmt numFmtId="165" formatCode="0.0%"/>
    <numFmt numFmtId="166" formatCode="m/d/yyyy"/>
  </numFmts>
  <fonts count="22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FFFFFF"/>
      <name val="Segoe UI"/>
      <family val="2"/>
    </font>
    <font>
      <b/>
      <sz val="10"/>
      <color rgb="FF000000"/>
      <name val="Arial"/>
      <family val="2"/>
    </font>
    <font>
      <b/>
      <sz val="11"/>
      <color rgb="FF1F4E78"/>
      <name val="Arial"/>
      <family val="2"/>
    </font>
    <font>
      <sz val="8"/>
      <color rgb="FFBFBFBF"/>
      <name val="Arial"/>
      <family val="2"/>
    </font>
    <font>
      <sz val="8"/>
      <color rgb="FFBFBFBF"/>
      <name val="Cambria"/>
      <family val="1"/>
    </font>
    <font>
      <b/>
      <sz val="9"/>
      <color rgb="FF595959"/>
      <name val="Segoe UI"/>
      <family val="2"/>
    </font>
    <font>
      <b/>
      <sz val="18"/>
      <color rgb="FF1F4E79"/>
      <name val="Segoe UI"/>
      <family val="2"/>
    </font>
    <font>
      <b/>
      <sz val="11"/>
      <color rgb="FF1F4E79"/>
      <name val="Segoe UI"/>
      <family val="2"/>
    </font>
    <font>
      <b/>
      <sz val="10"/>
      <color rgb="FFFFFFFF"/>
      <name val="Segoe UI"/>
      <family val="2"/>
    </font>
    <font>
      <sz val="10"/>
      <name val="Segoe UI"/>
      <family val="2"/>
    </font>
    <font>
      <b/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Calibri"/>
      <family val="2"/>
    </font>
    <font>
      <b/>
      <sz val="10"/>
      <color rgb="FFC00000"/>
      <name val="Arial"/>
      <family val="2"/>
    </font>
    <font>
      <sz val="10"/>
      <color rgb="FF000000"/>
      <name val="Arial"/>
      <family val="2"/>
    </font>
    <font>
      <b/>
      <sz val="10"/>
      <color rgb="FF1F4E78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1F4E78"/>
      </patternFill>
    </fill>
    <fill>
      <patternFill patternType="solid">
        <fgColor theme="0"/>
        <bgColor rgb="FFF2F6F9"/>
      </patternFill>
    </fill>
    <fill>
      <patternFill patternType="solid">
        <fgColor rgb="FFFFF2CC"/>
        <bgColor rgb="FFF2F6F9"/>
      </patternFill>
    </fill>
    <fill>
      <patternFill patternType="solid">
        <fgColor rgb="FFF2F6F9"/>
        <bgColor rgb="FFFFFFFF"/>
      </patternFill>
    </fill>
    <fill>
      <patternFill patternType="solid">
        <fgColor theme="4" tint="0.79989013336588644"/>
        <bgColor rgb="FFD9D9D9"/>
      </patternFill>
    </fill>
    <fill>
      <patternFill patternType="solid">
        <fgColor rgb="FF1F4E78"/>
        <bgColor rgb="FF1F4E79"/>
      </patternFill>
    </fill>
    <fill>
      <patternFill patternType="solid">
        <fgColor rgb="FF1F4E78"/>
        <bgColor rgb="FF003366"/>
      </patternFill>
    </fill>
    <fill>
      <patternFill patternType="solid">
        <fgColor theme="5" tint="0.79998168889431442"/>
        <bgColor rgb="FFFFF2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theme="4" tint="0.39988402966399123"/>
      </bottom>
      <diagonal/>
    </border>
    <border>
      <left/>
      <right/>
      <top style="thin">
        <color theme="4" tint="0.39988402966399123"/>
      </top>
      <bottom/>
      <diagonal/>
    </border>
    <border>
      <left style="thin">
        <color rgb="FFB7C6D9"/>
      </left>
      <right/>
      <top style="thin">
        <color rgb="FFB7C6D9"/>
      </top>
      <bottom style="thin">
        <color rgb="FFB7C6D9"/>
      </bottom>
      <diagonal/>
    </border>
    <border>
      <left/>
      <right/>
      <top/>
      <bottom style="thin">
        <color rgb="FFB7C6D9"/>
      </bottom>
      <diagonal/>
    </border>
  </borders>
  <cellStyleXfs count="2">
    <xf numFmtId="0" fontId="0" fillId="0" borderId="0"/>
    <xf numFmtId="44" fontId="1" fillId="0" borderId="0" applyBorder="0" applyAlignment="0" applyProtection="0"/>
  </cellStyleXfs>
  <cellXfs count="43">
    <xf numFmtId="0" fontId="0" fillId="0" borderId="0" xfId="0"/>
    <xf numFmtId="0" fontId="0" fillId="3" borderId="0" xfId="0" applyFill="1" applyAlignment="1">
      <alignment horizontal="center"/>
    </xf>
    <xf numFmtId="0" fontId="3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9" fillId="0" borderId="0" xfId="0" applyFont="1"/>
    <xf numFmtId="0" fontId="10" fillId="2" borderId="3" xfId="0" applyFont="1" applyFill="1" applyBorder="1"/>
    <xf numFmtId="0" fontId="10" fillId="2" borderId="0" xfId="0" applyFont="1" applyFill="1"/>
    <xf numFmtId="0" fontId="11" fillId="0" borderId="2" xfId="0" applyFont="1" applyBorder="1"/>
    <xf numFmtId="164" fontId="11" fillId="0" borderId="2" xfId="0" applyNumberFormat="1" applyFont="1" applyBorder="1" applyAlignment="1">
      <alignment horizontal="right"/>
    </xf>
    <xf numFmtId="165" fontId="11" fillId="0" borderId="2" xfId="0" applyNumberFormat="1" applyFont="1" applyBorder="1" applyAlignment="1">
      <alignment horizontal="right"/>
    </xf>
    <xf numFmtId="0" fontId="11" fillId="5" borderId="2" xfId="0" applyFont="1" applyFill="1" applyBorder="1"/>
    <xf numFmtId="164" fontId="11" fillId="5" borderId="2" xfId="0" applyNumberFormat="1" applyFont="1" applyFill="1" applyBorder="1" applyAlignment="1">
      <alignment horizontal="right"/>
    </xf>
    <xf numFmtId="0" fontId="12" fillId="6" borderId="4" xfId="0" applyFont="1" applyFill="1" applyBorder="1" applyAlignment="1">
      <alignment horizontal="left"/>
    </xf>
    <xf numFmtId="164" fontId="12" fillId="6" borderId="4" xfId="0" applyNumberFormat="1" applyFont="1" applyFill="1" applyBorder="1"/>
    <xf numFmtId="10" fontId="12" fillId="6" borderId="4" xfId="0" applyNumberFormat="1" applyFont="1" applyFill="1" applyBorder="1"/>
    <xf numFmtId="0" fontId="13" fillId="7" borderId="0" xfId="0" applyFont="1" applyFill="1" applyAlignment="1">
      <alignment horizontal="center"/>
    </xf>
    <xf numFmtId="166" fontId="14" fillId="0" borderId="0" xfId="0" applyNumberFormat="1" applyFont="1"/>
    <xf numFmtId="166" fontId="14" fillId="0" borderId="0" xfId="0" applyNumberFormat="1" applyFont="1" applyAlignment="1">
      <alignment horizontal="center"/>
    </xf>
    <xf numFmtId="0" fontId="14" fillId="0" borderId="0" xfId="0" applyFont="1"/>
    <xf numFmtId="164" fontId="14" fillId="0" borderId="0" xfId="0" applyNumberFormat="1" applyFont="1"/>
    <xf numFmtId="0" fontId="15" fillId="0" borderId="0" xfId="0" applyFont="1"/>
    <xf numFmtId="164" fontId="0" fillId="0" borderId="0" xfId="0" applyNumberFormat="1"/>
    <xf numFmtId="0" fontId="13" fillId="8" borderId="1" xfId="0" applyFont="1" applyFill="1" applyBorder="1" applyAlignment="1">
      <alignment horizontal="center" vertical="center" wrapText="1"/>
    </xf>
    <xf numFmtId="164" fontId="17" fillId="0" borderId="1" xfId="0" applyNumberFormat="1" applyFont="1" applyBorder="1"/>
    <xf numFmtId="0" fontId="19" fillId="0" borderId="1" xfId="0" applyFont="1" applyBorder="1"/>
    <xf numFmtId="0" fontId="20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44" fontId="1" fillId="0" borderId="0" xfId="1"/>
    <xf numFmtId="0" fontId="21" fillId="8" borderId="1" xfId="0" applyFont="1" applyFill="1" applyBorder="1" applyAlignment="1">
      <alignment horizontal="center" vertical="center" wrapText="1"/>
    </xf>
    <xf numFmtId="164" fontId="19" fillId="0" borderId="1" xfId="0" applyNumberFormat="1" applyFont="1" applyBorder="1"/>
    <xf numFmtId="0" fontId="0" fillId="10" borderId="0" xfId="0" applyFill="1"/>
    <xf numFmtId="0" fontId="19" fillId="0" borderId="1" xfId="0" applyFont="1" applyBorder="1" applyAlignment="1">
      <alignment horizontal="left"/>
    </xf>
    <xf numFmtId="0" fontId="5" fillId="11" borderId="0" xfId="0" applyFont="1" applyFill="1"/>
    <xf numFmtId="0" fontId="6" fillId="11" borderId="0" xfId="0" applyFont="1" applyFill="1"/>
    <xf numFmtId="0" fontId="18" fillId="0" borderId="0" xfId="0" applyFont="1" applyAlignment="1">
      <alignment horizontal="left"/>
    </xf>
    <xf numFmtId="0" fontId="18" fillId="0" borderId="6" xfId="0" applyFont="1" applyBorder="1" applyAlignment="1">
      <alignment horizontal="center"/>
    </xf>
    <xf numFmtId="0" fontId="18" fillId="0" borderId="0" xfId="0" applyFont="1" applyAlignment="1">
      <alignment horizontal="center"/>
    </xf>
    <xf numFmtId="164" fontId="8" fillId="5" borderId="2" xfId="0" applyNumberFormat="1" applyFont="1" applyFill="1" applyBorder="1" applyAlignment="1">
      <alignment horizontal="center" vertical="center"/>
    </xf>
    <xf numFmtId="3" fontId="8" fillId="5" borderId="2" xfId="0" applyNumberFormat="1" applyFont="1" applyFill="1" applyBorder="1" applyAlignment="1">
      <alignment horizontal="center" vertical="center"/>
    </xf>
    <xf numFmtId="49" fontId="8" fillId="5" borderId="2" xfId="0" applyNumberFormat="1" applyFont="1" applyFill="1" applyBorder="1" applyAlignment="1">
      <alignment horizontal="center" vertical="center"/>
    </xf>
    <xf numFmtId="0" fontId="16" fillId="9" borderId="5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5B3D7"/>
      <rgbColor rgb="FF993366"/>
      <rgbColor rgb="FFFFF2CC"/>
      <rgbColor rgb="FFDCE6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9"/>
      <rgbColor rgb="FFCCFFCC"/>
      <rgbColor rgb="FFFFFF99"/>
      <rgbColor rgb="FFB7C6D9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400" b="1" strike="noStrike" spc="-1">
                <a:solidFill>
                  <a:srgbClr val="000000"/>
                </a:solidFill>
                <a:latin typeface="Segoe UI"/>
              </a:defRPr>
            </a:pPr>
            <a:r>
              <a:rPr lang="pt-BR" sz="1400" b="1" strike="noStrike" spc="-1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Faturamento por Vendedor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Dashboard!$G$12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Dashboard!$F$13:$F$17</c:f>
              <c:strCache>
                <c:ptCount val="5"/>
                <c:pt idx="0">
                  <c:v>Ana Souza</c:v>
                </c:pt>
                <c:pt idx="1">
                  <c:v>Igor Martins</c:v>
                </c:pt>
                <c:pt idx="2">
                  <c:v>Bruno Lima</c:v>
                </c:pt>
                <c:pt idx="3">
                  <c:v>Carla Mendes</c:v>
                </c:pt>
                <c:pt idx="4">
                  <c:v>Diego Santos</c:v>
                </c:pt>
              </c:strCache>
            </c:strRef>
          </c:cat>
          <c:val>
            <c:numRef>
              <c:f>Dashboard!$G$13:$G$17</c:f>
              <c:numCache>
                <c:formatCode>"R$ "#,##0.00</c:formatCode>
                <c:ptCount val="5"/>
                <c:pt idx="0">
                  <c:v>229320.3</c:v>
                </c:pt>
                <c:pt idx="1">
                  <c:v>157616.6</c:v>
                </c:pt>
                <c:pt idx="2">
                  <c:v>100221.40000000001</c:v>
                </c:pt>
                <c:pt idx="3">
                  <c:v>98439.499999999985</c:v>
                </c:pt>
                <c:pt idx="4">
                  <c:v>79016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8-4122-B4BF-939DC9F23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498061"/>
        <c:axId val="40770751"/>
      </c:barChart>
      <c:catAx>
        <c:axId val="9749806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40770751"/>
        <c:crosses val="autoZero"/>
        <c:auto val="1"/>
        <c:lblAlgn val="ctr"/>
        <c:lblOffset val="100"/>
        <c:noMultiLvlLbl val="0"/>
      </c:catAx>
      <c:valAx>
        <c:axId val="40770751"/>
        <c:scaling>
          <c:orientation val="minMax"/>
        </c:scaling>
        <c:delete val="0"/>
        <c:axPos val="l"/>
        <c:numFmt formatCode="&quot;R$&quot;\ 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pt-BR"/>
          </a:p>
        </c:txPr>
        <c:crossAx val="974980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493485</xdr:colOff>
      <xdr:row>10</xdr:row>
      <xdr:rowOff>171300</xdr:rowOff>
    </xdr:from>
    <xdr:to>
      <xdr:col>15</xdr:col>
      <xdr:colOff>554355</xdr:colOff>
      <xdr:row>27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c3a408c5694b537/Desktop/Dashboard/Excel/Dashboard_Vendas_Corporativas_v2.xlsx" TargetMode="External"/><Relationship Id="rId1" Type="http://schemas.openxmlformats.org/officeDocument/2006/relationships/externalLinkPath" Target="https://d.docs.live.net/4c3a408c5694b537/Desktop/Dashboard/Excel/Dashboard_Vendas_Corporativas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Base de Dados"/>
      <sheetName val="Auxiliar (não apagar)"/>
    </sheetNames>
    <sheetDataSet>
      <sheetData sheetId="0"/>
      <sheetData sheetId="1"/>
      <sheetData sheetId="2">
        <row r="4">
          <cell r="A4" t="str">
            <v>janeiro</v>
          </cell>
        </row>
        <row r="5">
          <cell r="A5" t="str">
            <v>fevereiro</v>
          </cell>
        </row>
        <row r="6">
          <cell r="A6" t="str">
            <v>março</v>
          </cell>
        </row>
        <row r="7">
          <cell r="A7" t="str">
            <v>abril</v>
          </cell>
        </row>
        <row r="8">
          <cell r="A8" t="str">
            <v>maio</v>
          </cell>
        </row>
        <row r="9">
          <cell r="A9" t="str">
            <v>junho</v>
          </cell>
        </row>
        <row r="10">
          <cell r="A10" t="str">
            <v>julho</v>
          </cell>
        </row>
        <row r="11">
          <cell r="A11" t="str">
            <v>agosto</v>
          </cell>
        </row>
        <row r="12">
          <cell r="A12" t="str">
            <v>setembro</v>
          </cell>
        </row>
        <row r="13">
          <cell r="A13" t="str">
            <v>outubro</v>
          </cell>
        </row>
        <row r="14">
          <cell r="A14" t="str">
            <v>novembro</v>
          </cell>
        </row>
        <row r="15">
          <cell r="A15" t="str">
            <v>dezembro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dos" displayName="Dados" ref="A1:H121" totalsRowShown="0">
  <autoFilter ref="A1:H121" xr:uid="{00000000-0009-0000-0100-000001000000}"/>
  <tableColumns count="8">
    <tableColumn id="1" xr3:uid="{00000000-0010-0000-0000-000001000000}" name="Data"/>
    <tableColumn id="2" xr3:uid="{00000000-0010-0000-0000-000002000000}" name="Mês"/>
    <tableColumn id="3" xr3:uid="{00000000-0010-0000-0000-000003000000}" name="Vendedor"/>
    <tableColumn id="4" xr3:uid="{00000000-0010-0000-0000-000004000000}" name="Produto"/>
    <tableColumn id="5" xr3:uid="{00000000-0010-0000-0000-000005000000}" name="Categoria"/>
    <tableColumn id="6" xr3:uid="{00000000-0010-0000-0000-000006000000}" name="Quantidade"/>
    <tableColumn id="7" xr3:uid="{00000000-0010-0000-0000-000007000000}" name="Valor Unitário"/>
    <tableColumn id="8" xr3:uid="{00000000-0010-0000-0000-000008000000}" name="Tot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33"/>
  <sheetViews>
    <sheetView showGridLines="0" tabSelected="1" zoomScale="80" zoomScaleNormal="80" workbookViewId="0">
      <selection activeCell="C4" sqref="C4"/>
    </sheetView>
  </sheetViews>
  <sheetFormatPr defaultColWidth="8.6640625" defaultRowHeight="14.4" x14ac:dyDescent="0.3"/>
  <cols>
    <col min="1" max="1" width="8.6640625" customWidth="1"/>
    <col min="2" max="2" width="21.5546875" customWidth="1"/>
    <col min="3" max="3" width="20.109375" customWidth="1"/>
    <col min="4" max="4" width="13.44140625" customWidth="1"/>
    <col min="5" max="5" width="8.6640625" customWidth="1"/>
    <col min="6" max="6" width="13.109375" customWidth="1"/>
    <col min="7" max="7" width="23.21875" customWidth="1"/>
    <col min="8" max="17" width="8.6640625" customWidth="1"/>
    <col min="18" max="18" width="6.6640625" customWidth="1"/>
    <col min="20" max="20" width="21.33203125" customWidth="1"/>
    <col min="21" max="21" width="14" customWidth="1"/>
  </cols>
  <sheetData>
    <row r="1" spans="2:20" x14ac:dyDescent="0.3">
      <c r="B1" s="41" t="s">
        <v>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</row>
    <row r="2" spans="2:20" x14ac:dyDescent="0.3"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</row>
    <row r="3" spans="2:20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2:20" x14ac:dyDescent="0.3">
      <c r="B4" s="2" t="s">
        <v>1</v>
      </c>
      <c r="C4" s="3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R4" s="32">
        <f>IFERROR(MATCH($C$4,{"janeiro";"fevereiro";"março";"abril";"maio";"junho";"julho";"agosto";"setembro";"outubro";"novembro";"dezembro"},0),0)</f>
        <v>0</v>
      </c>
      <c r="S4" s="33"/>
    </row>
    <row r="6" spans="2:20" x14ac:dyDescent="0.3">
      <c r="B6" s="42" t="s">
        <v>3</v>
      </c>
      <c r="C6" s="42"/>
      <c r="D6" s="42"/>
      <c r="F6" s="42" t="s">
        <v>4</v>
      </c>
      <c r="G6" s="42"/>
      <c r="H6" s="42"/>
      <c r="J6" s="42" t="s">
        <v>5</v>
      </c>
      <c r="K6" s="42"/>
      <c r="L6" s="42"/>
      <c r="N6" s="42" t="s">
        <v>6</v>
      </c>
      <c r="O6" s="42"/>
      <c r="P6" s="42"/>
    </row>
    <row r="7" spans="2:20" ht="27" customHeight="1" x14ac:dyDescent="0.3">
      <c r="B7" s="37">
        <f>IF($C$4="Todos",SUM(Dados!$H$2:$H$121),SUMPRODUCT((MONTH(Dados!$A$2:$A$121)=$R$4)*Dados!$H$2:$H$121))</f>
        <v>664613.80000000005</v>
      </c>
      <c r="C7" s="37"/>
      <c r="D7" s="37"/>
      <c r="F7" s="38">
        <f>IF($C$4="Todos",SUM(Dados!$F$2:$F$121),SUMPRODUCT((MONTH(Dados!$A$2:$A$121)=$R$4)*Dados!$F$2:$F$121))</f>
        <v>1050</v>
      </c>
      <c r="G7" s="38"/>
      <c r="H7" s="38"/>
      <c r="J7" s="37">
        <f>IFERROR(IF($C$4="Todos",AVERAGE(Dados!$H$2:$H$121),SUMPRODUCT((MONTH(Dados!$A$2:$A$121)=$R$4)*Dados!$H$2:$H$121)/SUMPRODUCT((MONTH(Dados!$A$2:$A$121)=$R$4)*1)),0)</f>
        <v>5538.4483333333337</v>
      </c>
      <c r="K7" s="37"/>
      <c r="L7" s="37"/>
      <c r="N7" s="39" t="str">
        <f>INDEX(Cálculos!$A$3:$A$7,MATCH(MAX(Cálculos!$B$3:$B$7),Cálculos!$B$3:$B$7,0))</f>
        <v>Ana Souza</v>
      </c>
      <c r="O7" s="39"/>
      <c r="P7" s="39"/>
    </row>
    <row r="9" spans="2:20" ht="12.6" customHeight="1" x14ac:dyDescent="0.3">
      <c r="B9" s="40" t="str">
        <f>"⚠️ Alerta de concentração: "&amp;INDEX(B13:B22,MATCH(MAX(D13:D22),D13:D22,0))&amp;" representa "&amp;TEXT(MAX(D13:D22),"0.0%")&amp;" do faturamento do período — dependência de um único produto."</f>
        <v>⚠️ Alerta de concentração: Notebook Pro 14 representa 52% do faturamento do período — dependência de um único produto.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30"/>
      <c r="P9" s="30"/>
    </row>
    <row r="10" spans="2:20" ht="16.5" customHeight="1" x14ac:dyDescent="0.4">
      <c r="B10" s="4"/>
    </row>
    <row r="11" spans="2:20" x14ac:dyDescent="0.3">
      <c r="B11" s="34" t="s">
        <v>7</v>
      </c>
      <c r="C11" s="34"/>
      <c r="F11" s="35" t="s">
        <v>39</v>
      </c>
      <c r="G11" s="35"/>
    </row>
    <row r="12" spans="2:20" ht="15" customHeight="1" x14ac:dyDescent="0.35">
      <c r="B12" s="5" t="s">
        <v>8</v>
      </c>
      <c r="C12" s="6" t="s">
        <v>9</v>
      </c>
      <c r="D12" s="5" t="s">
        <v>10</v>
      </c>
      <c r="F12" s="22" t="s">
        <v>28</v>
      </c>
      <c r="G12" s="22" t="s">
        <v>9</v>
      </c>
    </row>
    <row r="13" spans="2:20" ht="15" customHeight="1" x14ac:dyDescent="0.35">
      <c r="B13" s="7" t="s">
        <v>11</v>
      </c>
      <c r="C13" s="8">
        <v>345600</v>
      </c>
      <c r="D13" s="9">
        <f t="shared" ref="D13:D22" si="0">IFERROR(C13/SUM($C$13:$C$22),0)</f>
        <v>0.52000123981777091</v>
      </c>
      <c r="F13" s="24" t="s">
        <v>35</v>
      </c>
      <c r="G13" s="23">
        <f>Cálculos!B3</f>
        <v>229320.3</v>
      </c>
    </row>
    <row r="14" spans="2:20" ht="16.5" customHeight="1" x14ac:dyDescent="0.4">
      <c r="B14" s="10" t="s">
        <v>12</v>
      </c>
      <c r="C14" s="11">
        <v>123163</v>
      </c>
      <c r="D14" s="9">
        <f t="shared" si="0"/>
        <v>0.18531514091341469</v>
      </c>
      <c r="F14" s="24" t="s">
        <v>32</v>
      </c>
      <c r="G14" s="23">
        <f>Cálculos!B4</f>
        <v>157616.6</v>
      </c>
      <c r="T14" s="4"/>
    </row>
    <row r="15" spans="2:20" ht="15" customHeight="1" x14ac:dyDescent="0.35">
      <c r="B15" s="7" t="s">
        <v>13</v>
      </c>
      <c r="C15" s="8">
        <v>56175</v>
      </c>
      <c r="D15" s="9">
        <f t="shared" si="0"/>
        <v>8.4522770968643759E-2</v>
      </c>
      <c r="F15" s="24" t="s">
        <v>34</v>
      </c>
      <c r="G15" s="23">
        <f>Cálculos!B5</f>
        <v>100221.40000000001</v>
      </c>
    </row>
    <row r="16" spans="2:20" ht="15" customHeight="1" x14ac:dyDescent="0.35">
      <c r="B16" s="7" t="s">
        <v>14</v>
      </c>
      <c r="C16" s="8">
        <v>40732</v>
      </c>
      <c r="D16" s="9">
        <f t="shared" si="0"/>
        <v>6.1286720197504183E-2</v>
      </c>
      <c r="F16" s="24" t="s">
        <v>33</v>
      </c>
      <c r="G16" s="23">
        <f>Cálculos!B6</f>
        <v>98439.499999999985</v>
      </c>
    </row>
    <row r="17" spans="2:7" ht="15" customHeight="1" x14ac:dyDescent="0.35">
      <c r="B17" s="7" t="s">
        <v>15</v>
      </c>
      <c r="C17" s="8">
        <v>24740.1</v>
      </c>
      <c r="D17" s="9">
        <f t="shared" si="0"/>
        <v>3.7224776253517458E-2</v>
      </c>
      <c r="F17" s="24" t="s">
        <v>36</v>
      </c>
      <c r="G17" s="23">
        <f>Cálculos!B7</f>
        <v>79016</v>
      </c>
    </row>
    <row r="18" spans="2:7" ht="15" customHeight="1" x14ac:dyDescent="0.35">
      <c r="B18" s="7" t="s">
        <v>16</v>
      </c>
      <c r="C18" s="8">
        <v>23388.3</v>
      </c>
      <c r="D18" s="9">
        <f t="shared" si="0"/>
        <v>3.5190813070688574E-2</v>
      </c>
    </row>
    <row r="19" spans="2:7" ht="15" customHeight="1" x14ac:dyDescent="0.35">
      <c r="B19" s="10" t="s">
        <v>17</v>
      </c>
      <c r="C19" s="11">
        <v>19667.7</v>
      </c>
      <c r="D19" s="9">
        <f t="shared" si="0"/>
        <v>2.9592674723275387E-2</v>
      </c>
      <c r="F19" s="36"/>
      <c r="G19" s="36"/>
    </row>
    <row r="20" spans="2:7" ht="15" customHeight="1" x14ac:dyDescent="0.35">
      <c r="B20" s="7" t="s">
        <v>18</v>
      </c>
      <c r="C20" s="8">
        <v>14294.1</v>
      </c>
      <c r="D20" s="9">
        <f t="shared" si="0"/>
        <v>2.1507377668053239E-2</v>
      </c>
      <c r="F20" s="36" t="s">
        <v>41</v>
      </c>
      <c r="G20" s="36"/>
    </row>
    <row r="21" spans="2:7" ht="15" customHeight="1" x14ac:dyDescent="0.35">
      <c r="B21" s="7" t="s">
        <v>19</v>
      </c>
      <c r="C21" s="8">
        <v>9742.5</v>
      </c>
      <c r="D21" s="9">
        <f t="shared" si="0"/>
        <v>1.4658889117258777E-2</v>
      </c>
      <c r="F21" s="28" t="s">
        <v>27</v>
      </c>
      <c r="G21" s="28" t="s">
        <v>9</v>
      </c>
    </row>
    <row r="22" spans="2:7" ht="14.25" customHeight="1" x14ac:dyDescent="0.35">
      <c r="B22" s="10" t="s">
        <v>20</v>
      </c>
      <c r="C22" s="11">
        <v>7111.1</v>
      </c>
      <c r="D22" s="9">
        <f t="shared" si="0"/>
        <v>1.0699597269873122E-2</v>
      </c>
      <c r="F22" s="31" t="str">
        <f>'[1]Auxiliar (não apagar)'!A4</f>
        <v>janeiro</v>
      </c>
      <c r="G22" s="29">
        <f>Cálculos!C10</f>
        <v>41232.400000000001</v>
      </c>
    </row>
    <row r="23" spans="2:7" x14ac:dyDescent="0.3">
      <c r="B23" s="12" t="s">
        <v>21</v>
      </c>
      <c r="C23" s="13">
        <v>664613.80000000005</v>
      </c>
      <c r="D23" s="14">
        <f>SUM(D13:D22)</f>
        <v>1.0000000000000002</v>
      </c>
      <c r="F23" s="31" t="str">
        <f>'[1]Auxiliar (não apagar)'!A5</f>
        <v>fevereiro</v>
      </c>
      <c r="G23" s="29">
        <f>Cálculos!C11</f>
        <v>18182.599999999999</v>
      </c>
    </row>
    <row r="24" spans="2:7" x14ac:dyDescent="0.3">
      <c r="F24" s="31" t="str">
        <f>'[1]Auxiliar (não apagar)'!A6</f>
        <v>março</v>
      </c>
      <c r="G24" s="29">
        <f>Cálculos!C12</f>
        <v>17397.400000000001</v>
      </c>
    </row>
    <row r="25" spans="2:7" x14ac:dyDescent="0.3">
      <c r="F25" s="31" t="str">
        <f>'[1]Auxiliar (não apagar)'!A7</f>
        <v>abril</v>
      </c>
      <c r="G25" s="29">
        <f>Cálculos!C13</f>
        <v>52357.4</v>
      </c>
    </row>
    <row r="26" spans="2:7" ht="16.5" customHeight="1" x14ac:dyDescent="0.3">
      <c r="B26" s="34" t="s">
        <v>40</v>
      </c>
      <c r="C26" s="34"/>
      <c r="F26" s="31" t="str">
        <f>'[1]Auxiliar (não apagar)'!A8</f>
        <v>maio</v>
      </c>
      <c r="G26" s="29">
        <f>Cálculos!C14</f>
        <v>48431.9</v>
      </c>
    </row>
    <row r="27" spans="2:7" ht="15" customHeight="1" x14ac:dyDescent="0.35">
      <c r="B27" s="6" t="s">
        <v>22</v>
      </c>
      <c r="C27" s="6" t="s">
        <v>9</v>
      </c>
      <c r="F27" s="31" t="str">
        <f>'[1]Auxiliar (não apagar)'!A9</f>
        <v>junho</v>
      </c>
      <c r="G27" s="29">
        <f>Cálculos!C15</f>
        <v>142492.6</v>
      </c>
    </row>
    <row r="28" spans="2:7" ht="15" customHeight="1" x14ac:dyDescent="0.35">
      <c r="B28" s="7" t="s">
        <v>23</v>
      </c>
      <c r="C28" s="8">
        <v>507797.2</v>
      </c>
      <c r="F28" s="31" t="str">
        <f>'[1]Auxiliar (não apagar)'!A10</f>
        <v>julho</v>
      </c>
      <c r="G28" s="29">
        <f>Cálculos!C16</f>
        <v>62442.8</v>
      </c>
    </row>
    <row r="29" spans="2:7" ht="15" customHeight="1" x14ac:dyDescent="0.35">
      <c r="B29" s="10" t="s">
        <v>24</v>
      </c>
      <c r="C29" s="11">
        <v>106649.5</v>
      </c>
      <c r="F29" s="31" t="str">
        <f>'[1]Auxiliar (não apagar)'!A11</f>
        <v>agosto</v>
      </c>
      <c r="G29" s="29">
        <f>Cálculos!C17</f>
        <v>37581.699999999997</v>
      </c>
    </row>
    <row r="30" spans="2:7" ht="15" customHeight="1" x14ac:dyDescent="0.35">
      <c r="B30" s="7" t="s">
        <v>25</v>
      </c>
      <c r="C30" s="8">
        <v>50167.1</v>
      </c>
      <c r="F30" s="31" t="str">
        <f>'[1]Auxiliar (não apagar)'!A12</f>
        <v>setembro</v>
      </c>
      <c r="G30" s="29">
        <f>Cálculos!C18</f>
        <v>14705.1</v>
      </c>
    </row>
    <row r="31" spans="2:7" x14ac:dyDescent="0.3">
      <c r="F31" s="31" t="str">
        <f>'[1]Auxiliar (não apagar)'!A13</f>
        <v>outubro</v>
      </c>
      <c r="G31" s="29">
        <f>Cálculos!C19</f>
        <v>97450.6</v>
      </c>
    </row>
    <row r="32" spans="2:7" x14ac:dyDescent="0.3">
      <c r="F32" s="31" t="str">
        <f>'[1]Auxiliar (não apagar)'!A14</f>
        <v>novembro</v>
      </c>
      <c r="G32" s="29">
        <f>Cálculos!C20</f>
        <v>66090.100000000006</v>
      </c>
    </row>
    <row r="33" spans="6:7" x14ac:dyDescent="0.3">
      <c r="F33" s="31" t="str">
        <f>'[1]Auxiliar (não apagar)'!A15</f>
        <v>dezembro</v>
      </c>
      <c r="G33" s="29">
        <f>Cálculos!C21</f>
        <v>66249.2</v>
      </c>
    </row>
  </sheetData>
  <mergeCells count="15">
    <mergeCell ref="B1:P2"/>
    <mergeCell ref="B6:D6"/>
    <mergeCell ref="F6:H6"/>
    <mergeCell ref="J6:L6"/>
    <mergeCell ref="N6:P6"/>
    <mergeCell ref="B7:D7"/>
    <mergeCell ref="F7:H7"/>
    <mergeCell ref="J7:L7"/>
    <mergeCell ref="N7:P7"/>
    <mergeCell ref="B9:N9"/>
    <mergeCell ref="B11:C11"/>
    <mergeCell ref="B26:C26"/>
    <mergeCell ref="F11:G11"/>
    <mergeCell ref="F19:G19"/>
    <mergeCell ref="F20:G20"/>
  </mergeCells>
  <conditionalFormatting sqref="B28:C30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{35227A45-FA3F-43D7-9E14-3285A2D01273}</x14:id>
        </ext>
      </extLst>
    </cfRule>
  </conditionalFormatting>
  <conditionalFormatting sqref="C13:C22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{F6896957-74B4-4DF6-936B-1D3BCEDEE23C}</x14:id>
        </ext>
      </extLst>
    </cfRule>
  </conditionalFormatting>
  <conditionalFormatting sqref="C28">
    <cfRule type="dataBar" priority="4">
      <dataBar>
        <cfvo type="min"/>
        <cfvo type="max"/>
        <color rgb="FF77933C"/>
      </dataBar>
      <extLst>
        <ext xmlns:x14="http://schemas.microsoft.com/office/spreadsheetml/2009/9/main" uri="{B025F937-C7B1-47D3-B67F-A62EFF666E3E}">
          <x14:id>{3D6B4950-BED3-49D5-B1A0-92501D44F0CA}</x14:id>
        </ext>
      </extLst>
    </cfRule>
  </conditionalFormatting>
  <conditionalFormatting sqref="C28:C30">
    <cfRule type="dataBar" priority="5">
      <dataBar>
        <cfvo type="min"/>
        <cfvo type="max"/>
        <color rgb="FF9BBB59"/>
      </dataBar>
      <extLst>
        <ext xmlns:x14="http://schemas.microsoft.com/office/spreadsheetml/2009/9/main" uri="{B025F937-C7B1-47D3-B67F-A62EFF666E3E}">
          <x14:id>{5DC87F13-5A70-40F6-8113-BD908FF13B1E}</x14:id>
        </ext>
      </extLst>
    </cfRule>
  </conditionalFormatting>
  <conditionalFormatting sqref="G13:G17">
    <cfRule type="dataBar" priority="1">
      <dataBar>
        <cfvo type="min"/>
        <cfvo type="max"/>
        <color rgb="FF1F4E78"/>
      </dataBar>
      <extLst>
        <ext xmlns:x14="http://schemas.microsoft.com/office/spreadsheetml/2009/9/main" uri="{B025F937-C7B1-47D3-B67F-A62EFF666E3E}">
          <x14:id>{0A4AB4E2-1E17-447C-83B2-2565F8529EB5}</x14:id>
        </ext>
      </extLst>
    </cfRule>
  </conditionalFormatting>
  <dataValidations count="1">
    <dataValidation type="list" allowBlank="1" showInputMessage="1" showErrorMessage="1" sqref="C4" xr:uid="{00000000-0002-0000-0000-000000000000}">
      <formula1>"Todos,janeiro,fevereiro,março,abril,maio,junho,julho,agosto,setembro,outubro,novembro,dezembro"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227A45-FA3F-43D7-9E14-3285A2D01273}">
            <x14:dataBar axisPosition="none">
              <x14:cfvo type="min"/>
              <x14:cfvo type="max"/>
              <x14:negativeFillColor rgb="FF63C384"/>
            </x14:dataBar>
          </x14:cfRule>
          <xm:sqref>B28:C30</xm:sqref>
        </x14:conditionalFormatting>
        <x14:conditionalFormatting xmlns:xm="http://schemas.microsoft.com/office/excel/2006/main">
          <x14:cfRule type="dataBar" id="{F6896957-74B4-4DF6-936B-1D3BCEDEE23C}">
            <x14:dataBar axisPosition="none">
              <x14:cfvo type="min"/>
              <x14:cfvo type="max"/>
              <x14:negativeFillColor rgb="FF638EC6"/>
            </x14:dataBar>
          </x14:cfRule>
          <xm:sqref>C13:C22</xm:sqref>
        </x14:conditionalFormatting>
        <x14:conditionalFormatting xmlns:xm="http://schemas.microsoft.com/office/excel/2006/main">
          <x14:cfRule type="dataBar" id="{3D6B4950-BED3-49D5-B1A0-92501D44F0CA}">
            <x14:dataBar axisPosition="none">
              <x14:cfvo type="min"/>
              <x14:cfvo type="max"/>
              <x14:negativeFillColor rgb="FF77933C"/>
            </x14:dataBar>
          </x14:cfRule>
          <xm:sqref>C28</xm:sqref>
        </x14:conditionalFormatting>
        <x14:conditionalFormatting xmlns:xm="http://schemas.microsoft.com/office/excel/2006/main">
          <x14:cfRule type="dataBar" id="{5DC87F13-5A70-40F6-8113-BD908FF13B1E}">
            <x14:dataBar axisPosition="none">
              <x14:cfvo type="min"/>
              <x14:cfvo type="max"/>
              <x14:negativeFillColor rgb="FF9BBB59"/>
            </x14:dataBar>
          </x14:cfRule>
          <xm:sqref>C28:C30</xm:sqref>
        </x14:conditionalFormatting>
        <x14:conditionalFormatting xmlns:xm="http://schemas.microsoft.com/office/excel/2006/main">
          <x14:cfRule type="dataBar" id="{0A4AB4E2-1E17-447C-83B2-2565F8529EB5}">
            <x14:dataBar axisPosition="none">
              <x14:cfvo type="min"/>
              <x14:cfvo type="max"/>
              <x14:negativeFillColor rgb="FF1F4E78"/>
            </x14:dataBar>
          </x14:cfRule>
          <xm:sqref>G13:G17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1"/>
  <sheetViews>
    <sheetView zoomScale="50" zoomScaleNormal="50" workbookViewId="0">
      <pane ySplit="1" topLeftCell="A2" activePane="bottomLeft" state="frozen"/>
      <selection pane="bottomLeft" activeCell="H121" sqref="H121"/>
    </sheetView>
  </sheetViews>
  <sheetFormatPr defaultColWidth="8.6640625" defaultRowHeight="14.4" x14ac:dyDescent="0.3"/>
  <cols>
    <col min="1" max="2" width="12" customWidth="1"/>
    <col min="3" max="3" width="16" customWidth="1"/>
    <col min="4" max="4" width="22" customWidth="1"/>
    <col min="5" max="5" width="14" customWidth="1"/>
    <col min="6" max="6" width="12" customWidth="1"/>
    <col min="7" max="7" width="15" customWidth="1"/>
    <col min="8" max="8" width="14" customWidth="1"/>
  </cols>
  <sheetData>
    <row r="1" spans="1:8" x14ac:dyDescent="0.3">
      <c r="A1" s="15" t="s">
        <v>26</v>
      </c>
      <c r="B1" s="15" t="s">
        <v>27</v>
      </c>
      <c r="C1" s="15" t="s">
        <v>28</v>
      </c>
      <c r="D1" s="15" t="s">
        <v>8</v>
      </c>
      <c r="E1" s="15" t="s">
        <v>22</v>
      </c>
      <c r="F1" s="15" t="s">
        <v>29</v>
      </c>
      <c r="G1" s="15" t="s">
        <v>30</v>
      </c>
      <c r="H1" s="15" t="s">
        <v>31</v>
      </c>
    </row>
    <row r="2" spans="1:8" x14ac:dyDescent="0.3">
      <c r="A2" s="16">
        <v>45658</v>
      </c>
      <c r="B2" s="17" t="str">
        <f>TEXT(Dados[[#This Row],[Data]],"mmmm")</f>
        <v>janeiro</v>
      </c>
      <c r="C2" s="18" t="s">
        <v>32</v>
      </c>
      <c r="D2" s="18" t="s">
        <v>14</v>
      </c>
      <c r="E2" s="18" t="s">
        <v>24</v>
      </c>
      <c r="F2" s="18">
        <v>8</v>
      </c>
      <c r="G2" s="19">
        <v>599</v>
      </c>
      <c r="H2" s="19">
        <f t="shared" ref="H2:H33" si="0">F2*G2</f>
        <v>4792</v>
      </c>
    </row>
    <row r="3" spans="1:8" x14ac:dyDescent="0.3">
      <c r="A3" s="16">
        <v>45659</v>
      </c>
      <c r="B3" s="17" t="str">
        <f>TEXT(Dados[[#This Row],[Data]],"mmmm")</f>
        <v>janeiro</v>
      </c>
      <c r="C3" s="18" t="s">
        <v>33</v>
      </c>
      <c r="D3" s="18" t="s">
        <v>15</v>
      </c>
      <c r="E3" s="18" t="s">
        <v>23</v>
      </c>
      <c r="F3" s="18">
        <v>11</v>
      </c>
      <c r="G3" s="19">
        <v>249.9</v>
      </c>
      <c r="H3" s="19">
        <f t="shared" si="0"/>
        <v>2748.9</v>
      </c>
    </row>
    <row r="4" spans="1:8" x14ac:dyDescent="0.3">
      <c r="A4" s="16">
        <v>45661</v>
      </c>
      <c r="B4" s="17" t="str">
        <f>TEXT(Dados[[#This Row],[Data]],"mmmm")</f>
        <v>janeiro</v>
      </c>
      <c r="C4" s="18" t="s">
        <v>34</v>
      </c>
      <c r="D4" s="18" t="s">
        <v>19</v>
      </c>
      <c r="E4" s="18" t="s">
        <v>24</v>
      </c>
      <c r="F4" s="18">
        <v>6</v>
      </c>
      <c r="G4" s="19">
        <v>129.9</v>
      </c>
      <c r="H4" s="19">
        <f t="shared" si="0"/>
        <v>779.40000000000009</v>
      </c>
    </row>
    <row r="5" spans="1:8" x14ac:dyDescent="0.3">
      <c r="A5" s="16">
        <v>45663</v>
      </c>
      <c r="B5" s="17" t="str">
        <f>TEXT(Dados[[#This Row],[Data]],"mmmm")</f>
        <v>janeiro</v>
      </c>
      <c r="C5" s="18" t="s">
        <v>35</v>
      </c>
      <c r="D5" s="18" t="s">
        <v>16</v>
      </c>
      <c r="E5" s="18" t="s">
        <v>25</v>
      </c>
      <c r="F5" s="18">
        <v>13</v>
      </c>
      <c r="G5" s="19">
        <v>199.9</v>
      </c>
      <c r="H5" s="19">
        <f t="shared" si="0"/>
        <v>2598.7000000000003</v>
      </c>
    </row>
    <row r="6" spans="1:8" x14ac:dyDescent="0.3">
      <c r="A6" s="16">
        <v>45667</v>
      </c>
      <c r="B6" s="17" t="str">
        <f>TEXT(Dados[[#This Row],[Data]],"mmmm")</f>
        <v>janeiro</v>
      </c>
      <c r="C6" s="18" t="s">
        <v>35</v>
      </c>
      <c r="D6" s="18" t="s">
        <v>14</v>
      </c>
      <c r="E6" s="18" t="s">
        <v>24</v>
      </c>
      <c r="F6" s="18">
        <v>15</v>
      </c>
      <c r="G6" s="19">
        <v>599</v>
      </c>
      <c r="H6" s="19">
        <f t="shared" si="0"/>
        <v>8985</v>
      </c>
    </row>
    <row r="7" spans="1:8" x14ac:dyDescent="0.3">
      <c r="A7" s="16">
        <v>45671</v>
      </c>
      <c r="B7" s="17" t="str">
        <f>TEXT(Dados[[#This Row],[Data]],"mmmm")</f>
        <v>janeiro</v>
      </c>
      <c r="C7" s="18" t="s">
        <v>32</v>
      </c>
      <c r="D7" s="18" t="s">
        <v>12</v>
      </c>
      <c r="E7" s="18" t="s">
        <v>23</v>
      </c>
      <c r="F7" s="18">
        <v>12</v>
      </c>
      <c r="G7" s="19">
        <v>899</v>
      </c>
      <c r="H7" s="19">
        <f t="shared" si="0"/>
        <v>10788</v>
      </c>
    </row>
    <row r="8" spans="1:8" x14ac:dyDescent="0.3">
      <c r="A8" s="16">
        <v>45674</v>
      </c>
      <c r="B8" s="17" t="str">
        <f>TEXT(Dados[[#This Row],[Data]],"mmmm")</f>
        <v>janeiro</v>
      </c>
      <c r="C8" s="18" t="s">
        <v>33</v>
      </c>
      <c r="D8" s="18" t="s">
        <v>19</v>
      </c>
      <c r="E8" s="18" t="s">
        <v>24</v>
      </c>
      <c r="F8" s="18">
        <v>5</v>
      </c>
      <c r="G8" s="19">
        <v>129.9</v>
      </c>
      <c r="H8" s="19">
        <f t="shared" si="0"/>
        <v>649.5</v>
      </c>
    </row>
    <row r="9" spans="1:8" x14ac:dyDescent="0.3">
      <c r="A9" s="16">
        <v>45674</v>
      </c>
      <c r="B9" s="17" t="str">
        <f>TEXT(Dados[[#This Row],[Data]],"mmmm")</f>
        <v>janeiro</v>
      </c>
      <c r="C9" s="18" t="s">
        <v>33</v>
      </c>
      <c r="D9" s="18" t="s">
        <v>18</v>
      </c>
      <c r="E9" s="18" t="s">
        <v>23</v>
      </c>
      <c r="F9" s="18">
        <v>9</v>
      </c>
      <c r="G9" s="19">
        <v>89.9</v>
      </c>
      <c r="H9" s="19">
        <f t="shared" si="0"/>
        <v>809.1</v>
      </c>
    </row>
    <row r="10" spans="1:8" x14ac:dyDescent="0.3">
      <c r="A10" s="16">
        <v>45676</v>
      </c>
      <c r="B10" s="17" t="str">
        <f>TEXT(Dados[[#This Row],[Data]],"mmmm")</f>
        <v>janeiro</v>
      </c>
      <c r="C10" s="18" t="s">
        <v>33</v>
      </c>
      <c r="D10" s="18" t="s">
        <v>20</v>
      </c>
      <c r="E10" s="18" t="s">
        <v>25</v>
      </c>
      <c r="F10" s="18">
        <v>9</v>
      </c>
      <c r="G10" s="19">
        <v>79.900000000000006</v>
      </c>
      <c r="H10" s="19">
        <f t="shared" si="0"/>
        <v>719.1</v>
      </c>
    </row>
    <row r="11" spans="1:8" x14ac:dyDescent="0.3">
      <c r="A11" s="16">
        <v>45677</v>
      </c>
      <c r="B11" s="17" t="str">
        <f>TEXT(Dados[[#This Row],[Data]],"mmmm")</f>
        <v>janeiro</v>
      </c>
      <c r="C11" s="18" t="s">
        <v>36</v>
      </c>
      <c r="D11" s="18" t="s">
        <v>12</v>
      </c>
      <c r="E11" s="18" t="s">
        <v>23</v>
      </c>
      <c r="F11" s="18">
        <v>4</v>
      </c>
      <c r="G11" s="19">
        <v>899</v>
      </c>
      <c r="H11" s="19">
        <f t="shared" si="0"/>
        <v>3596</v>
      </c>
    </row>
    <row r="12" spans="1:8" x14ac:dyDescent="0.3">
      <c r="A12" s="16">
        <v>45678</v>
      </c>
      <c r="B12" s="17" t="str">
        <f>TEXT(Dados[[#This Row],[Data]],"mmmm")</f>
        <v>janeiro</v>
      </c>
      <c r="C12" s="18" t="s">
        <v>32</v>
      </c>
      <c r="D12" s="18" t="s">
        <v>18</v>
      </c>
      <c r="E12" s="18" t="s">
        <v>23</v>
      </c>
      <c r="F12" s="18">
        <v>7</v>
      </c>
      <c r="G12" s="19">
        <v>89.9</v>
      </c>
      <c r="H12" s="19">
        <f t="shared" si="0"/>
        <v>629.30000000000007</v>
      </c>
    </row>
    <row r="13" spans="1:8" x14ac:dyDescent="0.3">
      <c r="A13" s="16">
        <v>45682</v>
      </c>
      <c r="B13" s="17" t="str">
        <f>TEXT(Dados[[#This Row],[Data]],"mmmm")</f>
        <v>janeiro</v>
      </c>
      <c r="C13" s="18" t="s">
        <v>35</v>
      </c>
      <c r="D13" s="18" t="s">
        <v>15</v>
      </c>
      <c r="E13" s="18" t="s">
        <v>23</v>
      </c>
      <c r="F13" s="18">
        <v>11</v>
      </c>
      <c r="G13" s="19">
        <v>249.9</v>
      </c>
      <c r="H13" s="19">
        <f t="shared" si="0"/>
        <v>2748.9</v>
      </c>
    </row>
    <row r="14" spans="1:8" x14ac:dyDescent="0.3">
      <c r="A14" s="16">
        <v>45687</v>
      </c>
      <c r="B14" s="17" t="str">
        <f>TEXT(Dados[[#This Row],[Data]],"mmmm")</f>
        <v>janeiro</v>
      </c>
      <c r="C14" s="18" t="s">
        <v>32</v>
      </c>
      <c r="D14" s="18" t="s">
        <v>18</v>
      </c>
      <c r="E14" s="18" t="s">
        <v>23</v>
      </c>
      <c r="F14" s="18">
        <v>14</v>
      </c>
      <c r="G14" s="19">
        <v>89.9</v>
      </c>
      <c r="H14" s="19">
        <f t="shared" si="0"/>
        <v>1258.6000000000001</v>
      </c>
    </row>
    <row r="15" spans="1:8" x14ac:dyDescent="0.3">
      <c r="A15" s="16">
        <v>45688</v>
      </c>
      <c r="B15" s="17" t="str">
        <f>TEXT(Dados[[#This Row],[Data]],"mmmm")</f>
        <v>janeiro</v>
      </c>
      <c r="C15" s="18" t="s">
        <v>34</v>
      </c>
      <c r="D15" s="18" t="s">
        <v>19</v>
      </c>
      <c r="E15" s="18" t="s">
        <v>24</v>
      </c>
      <c r="F15" s="18">
        <v>1</v>
      </c>
      <c r="G15" s="19">
        <v>129.9</v>
      </c>
      <c r="H15" s="19">
        <f t="shared" si="0"/>
        <v>129.9</v>
      </c>
    </row>
    <row r="16" spans="1:8" x14ac:dyDescent="0.3">
      <c r="A16" s="16">
        <v>45691</v>
      </c>
      <c r="B16" s="17" t="str">
        <f>TEXT(Dados[[#This Row],[Data]],"mmmm")</f>
        <v>fevereiro</v>
      </c>
      <c r="C16" s="18" t="s">
        <v>34</v>
      </c>
      <c r="D16" s="18" t="s">
        <v>20</v>
      </c>
      <c r="E16" s="18" t="s">
        <v>25</v>
      </c>
      <c r="F16" s="18">
        <v>15</v>
      </c>
      <c r="G16" s="19">
        <v>79.900000000000006</v>
      </c>
      <c r="H16" s="19">
        <f t="shared" si="0"/>
        <v>1198.5</v>
      </c>
    </row>
    <row r="17" spans="1:8" x14ac:dyDescent="0.3">
      <c r="A17" s="16">
        <v>45695</v>
      </c>
      <c r="B17" s="17" t="str">
        <f>TEXT(Dados[[#This Row],[Data]],"mmmm")</f>
        <v>fevereiro</v>
      </c>
      <c r="C17" s="18" t="s">
        <v>35</v>
      </c>
      <c r="D17" s="18" t="s">
        <v>17</v>
      </c>
      <c r="E17" s="18" t="s">
        <v>25</v>
      </c>
      <c r="F17" s="18">
        <v>10</v>
      </c>
      <c r="G17" s="19">
        <v>159.9</v>
      </c>
      <c r="H17" s="19">
        <f t="shared" si="0"/>
        <v>1599</v>
      </c>
    </row>
    <row r="18" spans="1:8" x14ac:dyDescent="0.3">
      <c r="A18" s="16">
        <v>45707</v>
      </c>
      <c r="B18" s="17" t="str">
        <f>TEXT(Dados[[#This Row],[Data]],"mmmm")</f>
        <v>fevereiro</v>
      </c>
      <c r="C18" s="18" t="s">
        <v>33</v>
      </c>
      <c r="D18" s="18" t="s">
        <v>14</v>
      </c>
      <c r="E18" s="18" t="s">
        <v>24</v>
      </c>
      <c r="F18" s="18">
        <v>10</v>
      </c>
      <c r="G18" s="19">
        <v>599</v>
      </c>
      <c r="H18" s="19">
        <f t="shared" si="0"/>
        <v>5990</v>
      </c>
    </row>
    <row r="19" spans="1:8" x14ac:dyDescent="0.3">
      <c r="A19" s="16">
        <v>45710</v>
      </c>
      <c r="B19" s="17" t="str">
        <f>TEXT(Dados[[#This Row],[Data]],"mmmm")</f>
        <v>fevereiro</v>
      </c>
      <c r="C19" s="18" t="s">
        <v>32</v>
      </c>
      <c r="D19" s="18" t="s">
        <v>18</v>
      </c>
      <c r="E19" s="18" t="s">
        <v>23</v>
      </c>
      <c r="F19" s="18">
        <v>10</v>
      </c>
      <c r="G19" s="19">
        <v>89.9</v>
      </c>
      <c r="H19" s="19">
        <f t="shared" si="0"/>
        <v>899</v>
      </c>
    </row>
    <row r="20" spans="1:8" x14ac:dyDescent="0.3">
      <c r="A20" s="16">
        <v>45710</v>
      </c>
      <c r="B20" s="17" t="str">
        <f>TEXT(Dados[[#This Row],[Data]],"mmmm")</f>
        <v>fevereiro</v>
      </c>
      <c r="C20" s="18" t="s">
        <v>33</v>
      </c>
      <c r="D20" s="18" t="s">
        <v>16</v>
      </c>
      <c r="E20" s="18" t="s">
        <v>25</v>
      </c>
      <c r="F20" s="18">
        <v>15</v>
      </c>
      <c r="G20" s="19">
        <v>199.9</v>
      </c>
      <c r="H20" s="19">
        <f t="shared" si="0"/>
        <v>2998.5</v>
      </c>
    </row>
    <row r="21" spans="1:8" x14ac:dyDescent="0.3">
      <c r="A21" s="16">
        <v>45712</v>
      </c>
      <c r="B21" s="17" t="str">
        <f>TEXT(Dados[[#This Row],[Data]],"mmmm")</f>
        <v>fevereiro</v>
      </c>
      <c r="C21" s="18" t="s">
        <v>33</v>
      </c>
      <c r="D21" s="18" t="s">
        <v>16</v>
      </c>
      <c r="E21" s="18" t="s">
        <v>25</v>
      </c>
      <c r="F21" s="18">
        <v>10</v>
      </c>
      <c r="G21" s="19">
        <v>199.9</v>
      </c>
      <c r="H21" s="19">
        <f t="shared" si="0"/>
        <v>1999</v>
      </c>
    </row>
    <row r="22" spans="1:8" x14ac:dyDescent="0.3">
      <c r="A22" s="16">
        <v>45712</v>
      </c>
      <c r="B22" s="17" t="str">
        <f>TEXT(Dados[[#This Row],[Data]],"mmmm")</f>
        <v>fevereiro</v>
      </c>
      <c r="C22" s="18" t="s">
        <v>32</v>
      </c>
      <c r="D22" s="18" t="s">
        <v>15</v>
      </c>
      <c r="E22" s="18" t="s">
        <v>23</v>
      </c>
      <c r="F22" s="18">
        <v>5</v>
      </c>
      <c r="G22" s="19">
        <v>249.9</v>
      </c>
      <c r="H22" s="19">
        <f t="shared" si="0"/>
        <v>1249.5</v>
      </c>
    </row>
    <row r="23" spans="1:8" x14ac:dyDescent="0.3">
      <c r="A23" s="16">
        <v>45715</v>
      </c>
      <c r="B23" s="17" t="str">
        <f>TEXT(Dados[[#This Row],[Data]],"mmmm")</f>
        <v>fevereiro</v>
      </c>
      <c r="C23" s="18" t="s">
        <v>35</v>
      </c>
      <c r="D23" s="18" t="s">
        <v>15</v>
      </c>
      <c r="E23" s="18" t="s">
        <v>23</v>
      </c>
      <c r="F23" s="18">
        <v>9</v>
      </c>
      <c r="G23" s="19">
        <v>249.9</v>
      </c>
      <c r="H23" s="19">
        <f t="shared" si="0"/>
        <v>2249.1</v>
      </c>
    </row>
    <row r="24" spans="1:8" x14ac:dyDescent="0.3">
      <c r="A24" s="16">
        <v>45721</v>
      </c>
      <c r="B24" s="17" t="str">
        <f>TEXT(Dados[[#This Row],[Data]],"mmmm")</f>
        <v>março</v>
      </c>
      <c r="C24" s="18" t="s">
        <v>36</v>
      </c>
      <c r="D24" s="18" t="s">
        <v>18</v>
      </c>
      <c r="E24" s="18" t="s">
        <v>23</v>
      </c>
      <c r="F24" s="18">
        <v>9</v>
      </c>
      <c r="G24" s="19">
        <v>89.9</v>
      </c>
      <c r="H24" s="19">
        <f t="shared" si="0"/>
        <v>809.1</v>
      </c>
    </row>
    <row r="25" spans="1:8" x14ac:dyDescent="0.3">
      <c r="A25" s="16">
        <v>45722</v>
      </c>
      <c r="B25" s="17" t="str">
        <f>TEXT(Dados[[#This Row],[Data]],"mmmm")</f>
        <v>março</v>
      </c>
      <c r="C25" s="18" t="s">
        <v>34</v>
      </c>
      <c r="D25" s="18" t="s">
        <v>17</v>
      </c>
      <c r="E25" s="18" t="s">
        <v>25</v>
      </c>
      <c r="F25" s="18">
        <v>9</v>
      </c>
      <c r="G25" s="19">
        <v>159.9</v>
      </c>
      <c r="H25" s="19">
        <f t="shared" si="0"/>
        <v>1439.1000000000001</v>
      </c>
    </row>
    <row r="26" spans="1:8" x14ac:dyDescent="0.3">
      <c r="A26" s="16">
        <v>45725</v>
      </c>
      <c r="B26" s="17" t="str">
        <f>TEXT(Dados[[#This Row],[Data]],"mmmm")</f>
        <v>março</v>
      </c>
      <c r="C26" s="18" t="s">
        <v>33</v>
      </c>
      <c r="D26" s="18" t="s">
        <v>17</v>
      </c>
      <c r="E26" s="18" t="s">
        <v>25</v>
      </c>
      <c r="F26" s="18">
        <v>6</v>
      </c>
      <c r="G26" s="19">
        <v>159.9</v>
      </c>
      <c r="H26" s="19">
        <f t="shared" si="0"/>
        <v>959.40000000000009</v>
      </c>
    </row>
    <row r="27" spans="1:8" x14ac:dyDescent="0.3">
      <c r="A27" s="16">
        <v>45726</v>
      </c>
      <c r="B27" s="17" t="str">
        <f>TEXT(Dados[[#This Row],[Data]],"mmmm")</f>
        <v>março</v>
      </c>
      <c r="C27" s="18" t="s">
        <v>33</v>
      </c>
      <c r="D27" s="18" t="s">
        <v>18</v>
      </c>
      <c r="E27" s="18" t="s">
        <v>23</v>
      </c>
      <c r="F27" s="18">
        <v>15</v>
      </c>
      <c r="G27" s="19">
        <v>89.9</v>
      </c>
      <c r="H27" s="19">
        <f t="shared" si="0"/>
        <v>1348.5</v>
      </c>
    </row>
    <row r="28" spans="1:8" x14ac:dyDescent="0.3">
      <c r="A28" s="16">
        <v>45728</v>
      </c>
      <c r="B28" s="17" t="str">
        <f>TEXT(Dados[[#This Row],[Data]],"mmmm")</f>
        <v>março</v>
      </c>
      <c r="C28" s="18" t="s">
        <v>32</v>
      </c>
      <c r="D28" s="18" t="s">
        <v>17</v>
      </c>
      <c r="E28" s="18" t="s">
        <v>25</v>
      </c>
      <c r="F28" s="18">
        <v>2</v>
      </c>
      <c r="G28" s="19">
        <v>159.9</v>
      </c>
      <c r="H28" s="19">
        <f t="shared" si="0"/>
        <v>319.8</v>
      </c>
    </row>
    <row r="29" spans="1:8" x14ac:dyDescent="0.3">
      <c r="A29" s="16">
        <v>45729</v>
      </c>
      <c r="B29" s="17" t="str">
        <f>TEXT(Dados[[#This Row],[Data]],"mmmm")</f>
        <v>março</v>
      </c>
      <c r="C29" s="18" t="s">
        <v>34</v>
      </c>
      <c r="D29" s="18" t="s">
        <v>16</v>
      </c>
      <c r="E29" s="18" t="s">
        <v>25</v>
      </c>
      <c r="F29" s="18">
        <v>9</v>
      </c>
      <c r="G29" s="19">
        <v>199.9</v>
      </c>
      <c r="H29" s="19">
        <f t="shared" si="0"/>
        <v>1799.1000000000001</v>
      </c>
    </row>
    <row r="30" spans="1:8" x14ac:dyDescent="0.3">
      <c r="A30" s="16">
        <v>45733</v>
      </c>
      <c r="B30" s="17" t="str">
        <f>TEXT(Dados[[#This Row],[Data]],"mmmm")</f>
        <v>março</v>
      </c>
      <c r="C30" s="18" t="s">
        <v>36</v>
      </c>
      <c r="D30" s="18" t="s">
        <v>15</v>
      </c>
      <c r="E30" s="18" t="s">
        <v>23</v>
      </c>
      <c r="F30" s="18">
        <v>1</v>
      </c>
      <c r="G30" s="19">
        <v>249.9</v>
      </c>
      <c r="H30" s="19">
        <f t="shared" si="0"/>
        <v>249.9</v>
      </c>
    </row>
    <row r="31" spans="1:8" x14ac:dyDescent="0.3">
      <c r="A31" s="16">
        <v>45739</v>
      </c>
      <c r="B31" s="17" t="str">
        <f>TEXT(Dados[[#This Row],[Data]],"mmmm")</f>
        <v>março</v>
      </c>
      <c r="C31" s="18" t="s">
        <v>36</v>
      </c>
      <c r="D31" s="18" t="s">
        <v>20</v>
      </c>
      <c r="E31" s="18" t="s">
        <v>25</v>
      </c>
      <c r="F31" s="18">
        <v>2</v>
      </c>
      <c r="G31" s="19">
        <v>79.900000000000006</v>
      </c>
      <c r="H31" s="19">
        <f t="shared" si="0"/>
        <v>159.80000000000001</v>
      </c>
    </row>
    <row r="32" spans="1:8" x14ac:dyDescent="0.3">
      <c r="A32" s="16">
        <v>45739</v>
      </c>
      <c r="B32" s="17" t="str">
        <f>TEXT(Dados[[#This Row],[Data]],"mmmm")</f>
        <v>março</v>
      </c>
      <c r="C32" s="18" t="s">
        <v>35</v>
      </c>
      <c r="D32" s="18" t="s">
        <v>19</v>
      </c>
      <c r="E32" s="18" t="s">
        <v>24</v>
      </c>
      <c r="F32" s="18">
        <v>14</v>
      </c>
      <c r="G32" s="19">
        <v>129.9</v>
      </c>
      <c r="H32" s="19">
        <f t="shared" si="0"/>
        <v>1818.6000000000001</v>
      </c>
    </row>
    <row r="33" spans="1:8" x14ac:dyDescent="0.3">
      <c r="A33" s="16">
        <v>45740</v>
      </c>
      <c r="B33" s="17" t="str">
        <f>TEXT(Dados[[#This Row],[Data]],"mmmm")</f>
        <v>março</v>
      </c>
      <c r="C33" s="18" t="s">
        <v>32</v>
      </c>
      <c r="D33" s="18" t="s">
        <v>16</v>
      </c>
      <c r="E33" s="18" t="s">
        <v>25</v>
      </c>
      <c r="F33" s="18">
        <v>15</v>
      </c>
      <c r="G33" s="19">
        <v>199.9</v>
      </c>
      <c r="H33" s="19">
        <f t="shared" si="0"/>
        <v>2998.5</v>
      </c>
    </row>
    <row r="34" spans="1:8" x14ac:dyDescent="0.3">
      <c r="A34" s="16">
        <v>45742</v>
      </c>
      <c r="B34" s="17" t="str">
        <f>TEXT(Dados[[#This Row],[Data]],"mmmm")</f>
        <v>março</v>
      </c>
      <c r="C34" s="18" t="s">
        <v>33</v>
      </c>
      <c r="D34" s="18" t="s">
        <v>16</v>
      </c>
      <c r="E34" s="18" t="s">
        <v>25</v>
      </c>
      <c r="F34" s="18">
        <v>14</v>
      </c>
      <c r="G34" s="19">
        <v>199.9</v>
      </c>
      <c r="H34" s="19">
        <f t="shared" ref="H34:H65" si="1">F34*G34</f>
        <v>2798.6</v>
      </c>
    </row>
    <row r="35" spans="1:8" x14ac:dyDescent="0.3">
      <c r="A35" s="16">
        <v>45745</v>
      </c>
      <c r="B35" s="17" t="str">
        <f>TEXT(Dados[[#This Row],[Data]],"mmmm")</f>
        <v>março</v>
      </c>
      <c r="C35" s="18" t="s">
        <v>32</v>
      </c>
      <c r="D35" s="18" t="s">
        <v>12</v>
      </c>
      <c r="E35" s="18" t="s">
        <v>23</v>
      </c>
      <c r="F35" s="18">
        <v>3</v>
      </c>
      <c r="G35" s="19">
        <v>899</v>
      </c>
      <c r="H35" s="19">
        <f t="shared" si="1"/>
        <v>2697</v>
      </c>
    </row>
    <row r="36" spans="1:8" x14ac:dyDescent="0.3">
      <c r="A36" s="16">
        <v>45753</v>
      </c>
      <c r="B36" s="17" t="str">
        <f>TEXT(Dados[[#This Row],[Data]],"mmmm")</f>
        <v>abril</v>
      </c>
      <c r="C36" s="18" t="s">
        <v>35</v>
      </c>
      <c r="D36" s="18" t="s">
        <v>20</v>
      </c>
      <c r="E36" s="18" t="s">
        <v>25</v>
      </c>
      <c r="F36" s="18">
        <v>2</v>
      </c>
      <c r="G36" s="19">
        <v>79.900000000000006</v>
      </c>
      <c r="H36" s="19">
        <f t="shared" si="1"/>
        <v>159.80000000000001</v>
      </c>
    </row>
    <row r="37" spans="1:8" x14ac:dyDescent="0.3">
      <c r="A37" s="16">
        <v>45755</v>
      </c>
      <c r="B37" s="17" t="str">
        <f>TEXT(Dados[[#This Row],[Data]],"mmmm")</f>
        <v>abril</v>
      </c>
      <c r="C37" s="18" t="s">
        <v>32</v>
      </c>
      <c r="D37" s="18" t="s">
        <v>17</v>
      </c>
      <c r="E37" s="18" t="s">
        <v>25</v>
      </c>
      <c r="F37" s="18">
        <v>3</v>
      </c>
      <c r="G37" s="19">
        <v>159.9</v>
      </c>
      <c r="H37" s="19">
        <f t="shared" si="1"/>
        <v>479.70000000000005</v>
      </c>
    </row>
    <row r="38" spans="1:8" x14ac:dyDescent="0.3">
      <c r="A38" s="16">
        <v>45755</v>
      </c>
      <c r="B38" s="17" t="str">
        <f>TEXT(Dados[[#This Row],[Data]],"mmmm")</f>
        <v>abril</v>
      </c>
      <c r="C38" s="18" t="s">
        <v>33</v>
      </c>
      <c r="D38" s="18" t="s">
        <v>12</v>
      </c>
      <c r="E38" s="18" t="s">
        <v>23</v>
      </c>
      <c r="F38" s="18">
        <v>1</v>
      </c>
      <c r="G38" s="19">
        <v>899</v>
      </c>
      <c r="H38" s="19">
        <f t="shared" si="1"/>
        <v>899</v>
      </c>
    </row>
    <row r="39" spans="1:8" x14ac:dyDescent="0.3">
      <c r="A39" s="16">
        <v>45756</v>
      </c>
      <c r="B39" s="17" t="str">
        <f>TEXT(Dados[[#This Row],[Data]],"mmmm")</f>
        <v>abril</v>
      </c>
      <c r="C39" s="18" t="s">
        <v>35</v>
      </c>
      <c r="D39" s="18" t="s">
        <v>11</v>
      </c>
      <c r="E39" s="18" t="s">
        <v>23</v>
      </c>
      <c r="F39" s="18">
        <v>11</v>
      </c>
      <c r="G39" s="19">
        <v>3200</v>
      </c>
      <c r="H39" s="19">
        <f t="shared" si="1"/>
        <v>35200</v>
      </c>
    </row>
    <row r="40" spans="1:8" x14ac:dyDescent="0.3">
      <c r="A40" s="16">
        <v>45759</v>
      </c>
      <c r="B40" s="17" t="str">
        <f>TEXT(Dados[[#This Row],[Data]],"mmmm")</f>
        <v>abril</v>
      </c>
      <c r="C40" s="18" t="s">
        <v>34</v>
      </c>
      <c r="D40" s="18" t="s">
        <v>14</v>
      </c>
      <c r="E40" s="18" t="s">
        <v>24</v>
      </c>
      <c r="F40" s="18">
        <v>13</v>
      </c>
      <c r="G40" s="19">
        <v>599</v>
      </c>
      <c r="H40" s="19">
        <f t="shared" si="1"/>
        <v>7787</v>
      </c>
    </row>
    <row r="41" spans="1:8" x14ac:dyDescent="0.3">
      <c r="A41" s="16">
        <v>45767</v>
      </c>
      <c r="B41" s="17" t="str">
        <f>TEXT(Dados[[#This Row],[Data]],"mmmm")</f>
        <v>abril</v>
      </c>
      <c r="C41" s="18" t="s">
        <v>32</v>
      </c>
      <c r="D41" s="18" t="s">
        <v>13</v>
      </c>
      <c r="E41" s="18" t="s">
        <v>24</v>
      </c>
      <c r="F41" s="18">
        <v>3</v>
      </c>
      <c r="G41" s="19">
        <v>749</v>
      </c>
      <c r="H41" s="19">
        <f t="shared" si="1"/>
        <v>2247</v>
      </c>
    </row>
    <row r="42" spans="1:8" x14ac:dyDescent="0.3">
      <c r="A42" s="16">
        <v>45769</v>
      </c>
      <c r="B42" s="17" t="str">
        <f>TEXT(Dados[[#This Row],[Data]],"mmmm")</f>
        <v>abril</v>
      </c>
      <c r="C42" s="18" t="s">
        <v>34</v>
      </c>
      <c r="D42" s="18" t="s">
        <v>16</v>
      </c>
      <c r="E42" s="18" t="s">
        <v>25</v>
      </c>
      <c r="F42" s="18">
        <v>10</v>
      </c>
      <c r="G42" s="19">
        <v>199.9</v>
      </c>
      <c r="H42" s="19">
        <f t="shared" si="1"/>
        <v>1999</v>
      </c>
    </row>
    <row r="43" spans="1:8" x14ac:dyDescent="0.3">
      <c r="A43" s="16">
        <v>45770</v>
      </c>
      <c r="B43" s="17" t="str">
        <f>TEXT(Dados[[#This Row],[Data]],"mmmm")</f>
        <v>abril</v>
      </c>
      <c r="C43" s="18" t="s">
        <v>35</v>
      </c>
      <c r="D43" s="18" t="s">
        <v>18</v>
      </c>
      <c r="E43" s="18" t="s">
        <v>23</v>
      </c>
      <c r="F43" s="18">
        <v>12</v>
      </c>
      <c r="G43" s="19">
        <v>89.9</v>
      </c>
      <c r="H43" s="19">
        <f t="shared" si="1"/>
        <v>1078.8000000000002</v>
      </c>
    </row>
    <row r="44" spans="1:8" x14ac:dyDescent="0.3">
      <c r="A44" s="16">
        <v>45773</v>
      </c>
      <c r="B44" s="17" t="str">
        <f>TEXT(Dados[[#This Row],[Data]],"mmmm")</f>
        <v>abril</v>
      </c>
      <c r="C44" s="18" t="s">
        <v>35</v>
      </c>
      <c r="D44" s="18" t="s">
        <v>14</v>
      </c>
      <c r="E44" s="18" t="s">
        <v>24</v>
      </c>
      <c r="F44" s="18">
        <v>1</v>
      </c>
      <c r="G44" s="19">
        <v>599</v>
      </c>
      <c r="H44" s="19">
        <f t="shared" si="1"/>
        <v>599</v>
      </c>
    </row>
    <row r="45" spans="1:8" x14ac:dyDescent="0.3">
      <c r="A45" s="16">
        <v>45774</v>
      </c>
      <c r="B45" s="17" t="str">
        <f>TEXT(Dados[[#This Row],[Data]],"mmmm")</f>
        <v>abril</v>
      </c>
      <c r="C45" s="18" t="s">
        <v>33</v>
      </c>
      <c r="D45" s="18" t="s">
        <v>18</v>
      </c>
      <c r="E45" s="18" t="s">
        <v>23</v>
      </c>
      <c r="F45" s="18">
        <v>14</v>
      </c>
      <c r="G45" s="19">
        <v>89.9</v>
      </c>
      <c r="H45" s="19">
        <f t="shared" si="1"/>
        <v>1258.6000000000001</v>
      </c>
    </row>
    <row r="46" spans="1:8" x14ac:dyDescent="0.3">
      <c r="A46" s="16">
        <v>45777</v>
      </c>
      <c r="B46" s="17" t="str">
        <f>TEXT(Dados[[#This Row],[Data]],"mmmm")</f>
        <v>abril</v>
      </c>
      <c r="C46" s="18" t="s">
        <v>35</v>
      </c>
      <c r="D46" s="18" t="s">
        <v>19</v>
      </c>
      <c r="E46" s="18" t="s">
        <v>24</v>
      </c>
      <c r="F46" s="18">
        <v>5</v>
      </c>
      <c r="G46" s="19">
        <v>129.9</v>
      </c>
      <c r="H46" s="19">
        <f t="shared" si="1"/>
        <v>649.5</v>
      </c>
    </row>
    <row r="47" spans="1:8" x14ac:dyDescent="0.3">
      <c r="A47" s="16">
        <v>45779</v>
      </c>
      <c r="B47" s="17" t="str">
        <f>TEXT(Dados[[#This Row],[Data]],"mmmm")</f>
        <v>maio</v>
      </c>
      <c r="C47" s="18" t="s">
        <v>33</v>
      </c>
      <c r="D47" s="18" t="s">
        <v>17</v>
      </c>
      <c r="E47" s="18" t="s">
        <v>25</v>
      </c>
      <c r="F47" s="18">
        <v>4</v>
      </c>
      <c r="G47" s="19">
        <v>159.9</v>
      </c>
      <c r="H47" s="19">
        <f t="shared" si="1"/>
        <v>639.6</v>
      </c>
    </row>
    <row r="48" spans="1:8" x14ac:dyDescent="0.3">
      <c r="A48" s="16">
        <v>45779</v>
      </c>
      <c r="B48" s="17" t="str">
        <f>TEXT(Dados[[#This Row],[Data]],"mmmm")</f>
        <v>maio</v>
      </c>
      <c r="C48" s="18" t="s">
        <v>34</v>
      </c>
      <c r="D48" s="18" t="s">
        <v>19</v>
      </c>
      <c r="E48" s="18" t="s">
        <v>24</v>
      </c>
      <c r="F48" s="18">
        <v>8</v>
      </c>
      <c r="G48" s="19">
        <v>129.9</v>
      </c>
      <c r="H48" s="19">
        <f t="shared" si="1"/>
        <v>1039.2</v>
      </c>
    </row>
    <row r="49" spans="1:8" x14ac:dyDescent="0.3">
      <c r="A49" s="16">
        <v>45779</v>
      </c>
      <c r="B49" s="17" t="str">
        <f>TEXT(Dados[[#This Row],[Data]],"mmmm")</f>
        <v>maio</v>
      </c>
      <c r="C49" s="18" t="s">
        <v>34</v>
      </c>
      <c r="D49" s="18" t="s">
        <v>15</v>
      </c>
      <c r="E49" s="18" t="s">
        <v>23</v>
      </c>
      <c r="F49" s="18">
        <v>15</v>
      </c>
      <c r="G49" s="19">
        <v>249.9</v>
      </c>
      <c r="H49" s="19">
        <f t="shared" si="1"/>
        <v>3748.5</v>
      </c>
    </row>
    <row r="50" spans="1:8" x14ac:dyDescent="0.3">
      <c r="A50" s="16">
        <v>45785</v>
      </c>
      <c r="B50" s="17" t="str">
        <f>TEXT(Dados[[#This Row],[Data]],"mmmm")</f>
        <v>maio</v>
      </c>
      <c r="C50" s="18" t="s">
        <v>35</v>
      </c>
      <c r="D50" s="18" t="s">
        <v>17</v>
      </c>
      <c r="E50" s="18" t="s">
        <v>25</v>
      </c>
      <c r="F50" s="18">
        <v>13</v>
      </c>
      <c r="G50" s="19">
        <v>159.9</v>
      </c>
      <c r="H50" s="19">
        <f t="shared" si="1"/>
        <v>2078.7000000000003</v>
      </c>
    </row>
    <row r="51" spans="1:8" x14ac:dyDescent="0.3">
      <c r="A51" s="16">
        <v>45792</v>
      </c>
      <c r="B51" s="17" t="str">
        <f>TEXT(Dados[[#This Row],[Data]],"mmmm")</f>
        <v>maio</v>
      </c>
      <c r="C51" s="18" t="s">
        <v>32</v>
      </c>
      <c r="D51" s="18" t="s">
        <v>19</v>
      </c>
      <c r="E51" s="18" t="s">
        <v>24</v>
      </c>
      <c r="F51" s="18">
        <v>15</v>
      </c>
      <c r="G51" s="19">
        <v>129.9</v>
      </c>
      <c r="H51" s="19">
        <f t="shared" si="1"/>
        <v>1948.5</v>
      </c>
    </row>
    <row r="52" spans="1:8" x14ac:dyDescent="0.3">
      <c r="A52" s="16">
        <v>45792</v>
      </c>
      <c r="B52" s="17" t="str">
        <f>TEXT(Dados[[#This Row],[Data]],"mmmm")</f>
        <v>maio</v>
      </c>
      <c r="C52" s="18" t="s">
        <v>32</v>
      </c>
      <c r="D52" s="18" t="s">
        <v>15</v>
      </c>
      <c r="E52" s="18" t="s">
        <v>23</v>
      </c>
      <c r="F52" s="18">
        <v>9</v>
      </c>
      <c r="G52" s="19">
        <v>249.9</v>
      </c>
      <c r="H52" s="19">
        <f t="shared" si="1"/>
        <v>2249.1</v>
      </c>
    </row>
    <row r="53" spans="1:8" x14ac:dyDescent="0.3">
      <c r="A53" s="16">
        <v>45792</v>
      </c>
      <c r="B53" s="17" t="str">
        <f>TEXT(Dados[[#This Row],[Data]],"mmmm")</f>
        <v>maio</v>
      </c>
      <c r="C53" s="18" t="s">
        <v>34</v>
      </c>
      <c r="D53" s="18" t="s">
        <v>17</v>
      </c>
      <c r="E53" s="18" t="s">
        <v>25</v>
      </c>
      <c r="F53" s="18">
        <v>9</v>
      </c>
      <c r="G53" s="19">
        <v>159.9</v>
      </c>
      <c r="H53" s="19">
        <f t="shared" si="1"/>
        <v>1439.1000000000001</v>
      </c>
    </row>
    <row r="54" spans="1:8" x14ac:dyDescent="0.3">
      <c r="A54" s="16">
        <v>45793</v>
      </c>
      <c r="B54" s="17" t="str">
        <f>TEXT(Dados[[#This Row],[Data]],"mmmm")</f>
        <v>maio</v>
      </c>
      <c r="C54" s="18" t="s">
        <v>35</v>
      </c>
      <c r="D54" s="18" t="s">
        <v>17</v>
      </c>
      <c r="E54" s="18" t="s">
        <v>25</v>
      </c>
      <c r="F54" s="18">
        <v>9</v>
      </c>
      <c r="G54" s="19">
        <v>159.9</v>
      </c>
      <c r="H54" s="19">
        <f t="shared" si="1"/>
        <v>1439.1000000000001</v>
      </c>
    </row>
    <row r="55" spans="1:8" x14ac:dyDescent="0.3">
      <c r="A55" s="16">
        <v>45794</v>
      </c>
      <c r="B55" s="17" t="str">
        <f>TEXT(Dados[[#This Row],[Data]],"mmmm")</f>
        <v>maio</v>
      </c>
      <c r="C55" s="18" t="s">
        <v>33</v>
      </c>
      <c r="D55" s="18" t="s">
        <v>18</v>
      </c>
      <c r="E55" s="18" t="s">
        <v>23</v>
      </c>
      <c r="F55" s="18">
        <v>5</v>
      </c>
      <c r="G55" s="19">
        <v>89.9</v>
      </c>
      <c r="H55" s="19">
        <f t="shared" si="1"/>
        <v>449.5</v>
      </c>
    </row>
    <row r="56" spans="1:8" x14ac:dyDescent="0.3">
      <c r="A56" s="16">
        <v>45798</v>
      </c>
      <c r="B56" s="17" t="str">
        <f>TEXT(Dados[[#This Row],[Data]],"mmmm")</f>
        <v>maio</v>
      </c>
      <c r="C56" s="18" t="s">
        <v>34</v>
      </c>
      <c r="D56" s="18" t="s">
        <v>12</v>
      </c>
      <c r="E56" s="18" t="s">
        <v>23</v>
      </c>
      <c r="F56" s="18">
        <v>3</v>
      </c>
      <c r="G56" s="19">
        <v>899</v>
      </c>
      <c r="H56" s="19">
        <f t="shared" si="1"/>
        <v>2697</v>
      </c>
    </row>
    <row r="57" spans="1:8" x14ac:dyDescent="0.3">
      <c r="A57" s="16">
        <v>45800</v>
      </c>
      <c r="B57" s="17" t="str">
        <f>TEXT(Dados[[#This Row],[Data]],"mmmm")</f>
        <v>maio</v>
      </c>
      <c r="C57" s="18" t="s">
        <v>34</v>
      </c>
      <c r="D57" s="18" t="s">
        <v>12</v>
      </c>
      <c r="E57" s="18" t="s">
        <v>23</v>
      </c>
      <c r="F57" s="18">
        <v>13</v>
      </c>
      <c r="G57" s="19">
        <v>899</v>
      </c>
      <c r="H57" s="19">
        <f t="shared" si="1"/>
        <v>11687</v>
      </c>
    </row>
    <row r="58" spans="1:8" x14ac:dyDescent="0.3">
      <c r="A58" s="16">
        <v>45802</v>
      </c>
      <c r="B58" s="17" t="str">
        <f>TEXT(Dados[[#This Row],[Data]],"mmmm")</f>
        <v>maio</v>
      </c>
      <c r="C58" s="18" t="s">
        <v>32</v>
      </c>
      <c r="D58" s="18" t="s">
        <v>12</v>
      </c>
      <c r="E58" s="18" t="s">
        <v>23</v>
      </c>
      <c r="F58" s="18">
        <v>12</v>
      </c>
      <c r="G58" s="19">
        <v>899</v>
      </c>
      <c r="H58" s="19">
        <f t="shared" si="1"/>
        <v>10788</v>
      </c>
    </row>
    <row r="59" spans="1:8" x14ac:dyDescent="0.3">
      <c r="A59" s="16">
        <v>45803</v>
      </c>
      <c r="B59" s="17" t="str">
        <f>TEXT(Dados[[#This Row],[Data]],"mmmm")</f>
        <v>maio</v>
      </c>
      <c r="C59" s="18" t="s">
        <v>34</v>
      </c>
      <c r="D59" s="18" t="s">
        <v>17</v>
      </c>
      <c r="E59" s="18" t="s">
        <v>25</v>
      </c>
      <c r="F59" s="18">
        <v>14</v>
      </c>
      <c r="G59" s="19">
        <v>159.9</v>
      </c>
      <c r="H59" s="19">
        <f t="shared" si="1"/>
        <v>2238.6</v>
      </c>
    </row>
    <row r="60" spans="1:8" x14ac:dyDescent="0.3">
      <c r="A60" s="16">
        <v>45808</v>
      </c>
      <c r="B60" s="17" t="str">
        <f>TEXT(Dados[[#This Row],[Data]],"mmmm")</f>
        <v>maio</v>
      </c>
      <c r="C60" s="18" t="s">
        <v>32</v>
      </c>
      <c r="D60" s="18" t="s">
        <v>14</v>
      </c>
      <c r="E60" s="18" t="s">
        <v>24</v>
      </c>
      <c r="F60" s="18">
        <v>10</v>
      </c>
      <c r="G60" s="19">
        <v>599</v>
      </c>
      <c r="H60" s="19">
        <f t="shared" si="1"/>
        <v>5990</v>
      </c>
    </row>
    <row r="61" spans="1:8" x14ac:dyDescent="0.3">
      <c r="A61" s="16">
        <v>45815</v>
      </c>
      <c r="B61" s="17" t="str">
        <f>TEXT(Dados[[#This Row],[Data]],"mmmm")</f>
        <v>junho</v>
      </c>
      <c r="C61" s="18" t="s">
        <v>34</v>
      </c>
      <c r="D61" s="18" t="s">
        <v>11</v>
      </c>
      <c r="E61" s="18" t="s">
        <v>23</v>
      </c>
      <c r="F61" s="18">
        <v>4</v>
      </c>
      <c r="G61" s="19">
        <v>3200</v>
      </c>
      <c r="H61" s="19">
        <f t="shared" si="1"/>
        <v>12800</v>
      </c>
    </row>
    <row r="62" spans="1:8" x14ac:dyDescent="0.3">
      <c r="A62" s="16">
        <v>45815</v>
      </c>
      <c r="B62" s="17" t="str">
        <f>TEXT(Dados[[#This Row],[Data]],"mmmm")</f>
        <v>junho</v>
      </c>
      <c r="C62" s="18" t="s">
        <v>33</v>
      </c>
      <c r="D62" s="18" t="s">
        <v>11</v>
      </c>
      <c r="E62" s="18" t="s">
        <v>23</v>
      </c>
      <c r="F62" s="18">
        <v>15</v>
      </c>
      <c r="G62" s="19">
        <v>3200</v>
      </c>
      <c r="H62" s="19">
        <f t="shared" si="1"/>
        <v>48000</v>
      </c>
    </row>
    <row r="63" spans="1:8" x14ac:dyDescent="0.3">
      <c r="A63" s="16">
        <v>45818</v>
      </c>
      <c r="B63" s="17" t="str">
        <f>TEXT(Dados[[#This Row],[Data]],"mmmm")</f>
        <v>junho</v>
      </c>
      <c r="C63" s="18" t="s">
        <v>35</v>
      </c>
      <c r="D63" s="18" t="s">
        <v>11</v>
      </c>
      <c r="E63" s="18" t="s">
        <v>23</v>
      </c>
      <c r="F63" s="18">
        <v>10</v>
      </c>
      <c r="G63" s="19">
        <v>3200</v>
      </c>
      <c r="H63" s="19">
        <f t="shared" si="1"/>
        <v>32000</v>
      </c>
    </row>
    <row r="64" spans="1:8" x14ac:dyDescent="0.3">
      <c r="A64" s="16">
        <v>45818</v>
      </c>
      <c r="B64" s="17" t="str">
        <f>TEXT(Dados[[#This Row],[Data]],"mmmm")</f>
        <v>junho</v>
      </c>
      <c r="C64" s="18" t="s">
        <v>34</v>
      </c>
      <c r="D64" s="18" t="s">
        <v>13</v>
      </c>
      <c r="E64" s="18" t="s">
        <v>24</v>
      </c>
      <c r="F64" s="18">
        <v>7</v>
      </c>
      <c r="G64" s="19">
        <v>749</v>
      </c>
      <c r="H64" s="19">
        <f t="shared" si="1"/>
        <v>5243</v>
      </c>
    </row>
    <row r="65" spans="1:8" x14ac:dyDescent="0.3">
      <c r="A65" s="16">
        <v>45819</v>
      </c>
      <c r="B65" s="17" t="str">
        <f>TEXT(Dados[[#This Row],[Data]],"mmmm")</f>
        <v>junho</v>
      </c>
      <c r="C65" s="18" t="s">
        <v>34</v>
      </c>
      <c r="D65" s="18" t="s">
        <v>17</v>
      </c>
      <c r="E65" s="18" t="s">
        <v>25</v>
      </c>
      <c r="F65" s="18">
        <v>7</v>
      </c>
      <c r="G65" s="19">
        <v>159.9</v>
      </c>
      <c r="H65" s="19">
        <f t="shared" si="1"/>
        <v>1119.3</v>
      </c>
    </row>
    <row r="66" spans="1:8" x14ac:dyDescent="0.3">
      <c r="A66" s="16">
        <v>45819</v>
      </c>
      <c r="B66" s="17" t="str">
        <f>TEXT(Dados[[#This Row],[Data]],"mmmm")</f>
        <v>junho</v>
      </c>
      <c r="C66" s="18" t="s">
        <v>33</v>
      </c>
      <c r="D66" s="18" t="s">
        <v>12</v>
      </c>
      <c r="E66" s="18" t="s">
        <v>23</v>
      </c>
      <c r="F66" s="18">
        <v>11</v>
      </c>
      <c r="G66" s="19">
        <v>899</v>
      </c>
      <c r="H66" s="19">
        <f t="shared" ref="H66:H97" si="2">F66*G66</f>
        <v>9889</v>
      </c>
    </row>
    <row r="67" spans="1:8" x14ac:dyDescent="0.3">
      <c r="A67" s="16">
        <v>45824</v>
      </c>
      <c r="B67" s="17" t="str">
        <f>TEXT(Dados[[#This Row],[Data]],"mmmm")</f>
        <v>junho</v>
      </c>
      <c r="C67" s="18" t="s">
        <v>35</v>
      </c>
      <c r="D67" s="18" t="s">
        <v>12</v>
      </c>
      <c r="E67" s="18" t="s">
        <v>23</v>
      </c>
      <c r="F67" s="18">
        <v>14</v>
      </c>
      <c r="G67" s="19">
        <v>899</v>
      </c>
      <c r="H67" s="19">
        <f t="shared" si="2"/>
        <v>12586</v>
      </c>
    </row>
    <row r="68" spans="1:8" x14ac:dyDescent="0.3">
      <c r="A68" s="16">
        <v>45828</v>
      </c>
      <c r="B68" s="17" t="str">
        <f>TEXT(Dados[[#This Row],[Data]],"mmmm")</f>
        <v>junho</v>
      </c>
      <c r="C68" s="18" t="s">
        <v>36</v>
      </c>
      <c r="D68" s="18" t="s">
        <v>12</v>
      </c>
      <c r="E68" s="18" t="s">
        <v>23</v>
      </c>
      <c r="F68" s="18">
        <v>5</v>
      </c>
      <c r="G68" s="19">
        <v>899</v>
      </c>
      <c r="H68" s="19">
        <f t="shared" si="2"/>
        <v>4495</v>
      </c>
    </row>
    <row r="69" spans="1:8" x14ac:dyDescent="0.3">
      <c r="A69" s="16">
        <v>45830</v>
      </c>
      <c r="B69" s="17" t="str">
        <f>TEXT(Dados[[#This Row],[Data]],"mmmm")</f>
        <v>junho</v>
      </c>
      <c r="C69" s="18" t="s">
        <v>35</v>
      </c>
      <c r="D69" s="18" t="s">
        <v>18</v>
      </c>
      <c r="E69" s="18" t="s">
        <v>23</v>
      </c>
      <c r="F69" s="18">
        <v>7</v>
      </c>
      <c r="G69" s="19">
        <v>89.9</v>
      </c>
      <c r="H69" s="19">
        <f t="shared" si="2"/>
        <v>629.30000000000007</v>
      </c>
    </row>
    <row r="70" spans="1:8" x14ac:dyDescent="0.3">
      <c r="A70" s="16">
        <v>45831</v>
      </c>
      <c r="B70" s="17" t="str">
        <f>TEXT(Dados[[#This Row],[Data]],"mmmm")</f>
        <v>junho</v>
      </c>
      <c r="C70" s="18" t="s">
        <v>35</v>
      </c>
      <c r="D70" s="18" t="s">
        <v>12</v>
      </c>
      <c r="E70" s="18" t="s">
        <v>23</v>
      </c>
      <c r="F70" s="18">
        <v>4</v>
      </c>
      <c r="G70" s="19">
        <v>899</v>
      </c>
      <c r="H70" s="19">
        <f t="shared" si="2"/>
        <v>3596</v>
      </c>
    </row>
    <row r="71" spans="1:8" x14ac:dyDescent="0.3">
      <c r="A71" s="16">
        <v>45833</v>
      </c>
      <c r="B71" s="17" t="str">
        <f>TEXT(Dados[[#This Row],[Data]],"mmmm")</f>
        <v>junho</v>
      </c>
      <c r="C71" s="18" t="s">
        <v>34</v>
      </c>
      <c r="D71" s="18" t="s">
        <v>13</v>
      </c>
      <c r="E71" s="18" t="s">
        <v>24</v>
      </c>
      <c r="F71" s="18">
        <v>9</v>
      </c>
      <c r="G71" s="19">
        <v>749</v>
      </c>
      <c r="H71" s="19">
        <f t="shared" si="2"/>
        <v>6741</v>
      </c>
    </row>
    <row r="72" spans="1:8" x14ac:dyDescent="0.3">
      <c r="A72" s="16">
        <v>45836</v>
      </c>
      <c r="B72" s="17" t="str">
        <f>TEXT(Dados[[#This Row],[Data]],"mmmm")</f>
        <v>junho</v>
      </c>
      <c r="C72" s="18" t="s">
        <v>35</v>
      </c>
      <c r="D72" s="18" t="s">
        <v>12</v>
      </c>
      <c r="E72" s="18" t="s">
        <v>23</v>
      </c>
      <c r="F72" s="18">
        <v>6</v>
      </c>
      <c r="G72" s="19">
        <v>899</v>
      </c>
      <c r="H72" s="19">
        <f t="shared" si="2"/>
        <v>5394</v>
      </c>
    </row>
    <row r="73" spans="1:8" x14ac:dyDescent="0.3">
      <c r="A73" s="16">
        <v>45839</v>
      </c>
      <c r="B73" s="17" t="str">
        <f>TEXT(Dados[[#This Row],[Data]],"mmmm")</f>
        <v>julho</v>
      </c>
      <c r="C73" s="18" t="s">
        <v>34</v>
      </c>
      <c r="D73" s="18" t="s">
        <v>13</v>
      </c>
      <c r="E73" s="18" t="s">
        <v>24</v>
      </c>
      <c r="F73" s="18">
        <v>12</v>
      </c>
      <c r="G73" s="19">
        <v>749</v>
      </c>
      <c r="H73" s="19">
        <f t="shared" si="2"/>
        <v>8988</v>
      </c>
    </row>
    <row r="74" spans="1:8" x14ac:dyDescent="0.3">
      <c r="A74" s="16">
        <v>45841</v>
      </c>
      <c r="B74" s="17" t="str">
        <f>TEXT(Dados[[#This Row],[Data]],"mmmm")</f>
        <v>julho</v>
      </c>
      <c r="C74" s="18" t="s">
        <v>34</v>
      </c>
      <c r="D74" s="18" t="s">
        <v>12</v>
      </c>
      <c r="E74" s="18" t="s">
        <v>23</v>
      </c>
      <c r="F74" s="18">
        <v>11</v>
      </c>
      <c r="G74" s="19">
        <v>899</v>
      </c>
      <c r="H74" s="19">
        <f t="shared" si="2"/>
        <v>9889</v>
      </c>
    </row>
    <row r="75" spans="1:8" x14ac:dyDescent="0.3">
      <c r="A75" s="16">
        <v>45855</v>
      </c>
      <c r="B75" s="17" t="str">
        <f>TEXT(Dados[[#This Row],[Data]],"mmmm")</f>
        <v>julho</v>
      </c>
      <c r="C75" s="18" t="s">
        <v>36</v>
      </c>
      <c r="D75" s="18" t="s">
        <v>20</v>
      </c>
      <c r="E75" s="18" t="s">
        <v>25</v>
      </c>
      <c r="F75" s="18">
        <v>8</v>
      </c>
      <c r="G75" s="19">
        <v>79.900000000000006</v>
      </c>
      <c r="H75" s="19">
        <f t="shared" si="2"/>
        <v>639.20000000000005</v>
      </c>
    </row>
    <row r="76" spans="1:8" x14ac:dyDescent="0.3">
      <c r="A76" s="16">
        <v>45857</v>
      </c>
      <c r="B76" s="17" t="str">
        <f>TEXT(Dados[[#This Row],[Data]],"mmmm")</f>
        <v>julho</v>
      </c>
      <c r="C76" s="18" t="s">
        <v>33</v>
      </c>
      <c r="D76" s="18" t="s">
        <v>17</v>
      </c>
      <c r="E76" s="18" t="s">
        <v>25</v>
      </c>
      <c r="F76" s="18">
        <v>5</v>
      </c>
      <c r="G76" s="19">
        <v>159.9</v>
      </c>
      <c r="H76" s="19">
        <f t="shared" si="2"/>
        <v>799.5</v>
      </c>
    </row>
    <row r="77" spans="1:8" x14ac:dyDescent="0.3">
      <c r="A77" s="16">
        <v>45866</v>
      </c>
      <c r="B77" s="17" t="str">
        <f>TEXT(Dados[[#This Row],[Data]],"mmmm")</f>
        <v>julho</v>
      </c>
      <c r="C77" s="18" t="s">
        <v>34</v>
      </c>
      <c r="D77" s="18" t="s">
        <v>18</v>
      </c>
      <c r="E77" s="18" t="s">
        <v>23</v>
      </c>
      <c r="F77" s="18">
        <v>2</v>
      </c>
      <c r="G77" s="19">
        <v>89.9</v>
      </c>
      <c r="H77" s="19">
        <f t="shared" si="2"/>
        <v>179.8</v>
      </c>
    </row>
    <row r="78" spans="1:8" x14ac:dyDescent="0.3">
      <c r="A78" s="16">
        <v>45866</v>
      </c>
      <c r="B78" s="17" t="str">
        <f>TEXT(Dados[[#This Row],[Data]],"mmmm")</f>
        <v>julho</v>
      </c>
      <c r="C78" s="18" t="s">
        <v>32</v>
      </c>
      <c r="D78" s="18" t="s">
        <v>15</v>
      </c>
      <c r="E78" s="18" t="s">
        <v>23</v>
      </c>
      <c r="F78" s="18">
        <v>15</v>
      </c>
      <c r="G78" s="19">
        <v>249.9</v>
      </c>
      <c r="H78" s="19">
        <f t="shared" si="2"/>
        <v>3748.5</v>
      </c>
    </row>
    <row r="79" spans="1:8" x14ac:dyDescent="0.3">
      <c r="A79" s="16">
        <v>45868</v>
      </c>
      <c r="B79" s="17" t="str">
        <f>TEXT(Dados[[#This Row],[Data]],"mmmm")</f>
        <v>julho</v>
      </c>
      <c r="C79" s="18" t="s">
        <v>36</v>
      </c>
      <c r="D79" s="18" t="s">
        <v>11</v>
      </c>
      <c r="E79" s="18" t="s">
        <v>23</v>
      </c>
      <c r="F79" s="18">
        <v>11</v>
      </c>
      <c r="G79" s="19">
        <v>3200</v>
      </c>
      <c r="H79" s="19">
        <f t="shared" si="2"/>
        <v>35200</v>
      </c>
    </row>
    <row r="80" spans="1:8" x14ac:dyDescent="0.3">
      <c r="A80" s="16">
        <v>45869</v>
      </c>
      <c r="B80" s="17" t="str">
        <f>TEXT(Dados[[#This Row],[Data]],"mmmm")</f>
        <v>julho</v>
      </c>
      <c r="C80" s="18" t="s">
        <v>35</v>
      </c>
      <c r="D80" s="18" t="s">
        <v>15</v>
      </c>
      <c r="E80" s="18" t="s">
        <v>23</v>
      </c>
      <c r="F80" s="18">
        <v>12</v>
      </c>
      <c r="G80" s="19">
        <v>249.9</v>
      </c>
      <c r="H80" s="19">
        <f t="shared" si="2"/>
        <v>2998.8</v>
      </c>
    </row>
    <row r="81" spans="1:8" x14ac:dyDescent="0.3">
      <c r="A81" s="16">
        <v>45874</v>
      </c>
      <c r="B81" s="17" t="str">
        <f>TEXT(Dados[[#This Row],[Data]],"mmmm")</f>
        <v>agosto</v>
      </c>
      <c r="C81" s="18" t="s">
        <v>35</v>
      </c>
      <c r="D81" s="18" t="s">
        <v>11</v>
      </c>
      <c r="E81" s="18" t="s">
        <v>23</v>
      </c>
      <c r="F81" s="18">
        <v>2</v>
      </c>
      <c r="G81" s="19">
        <v>3200</v>
      </c>
      <c r="H81" s="19">
        <f t="shared" si="2"/>
        <v>6400</v>
      </c>
    </row>
    <row r="82" spans="1:8" x14ac:dyDescent="0.3">
      <c r="A82" s="16">
        <v>45874</v>
      </c>
      <c r="B82" s="17" t="str">
        <f>TEXT(Dados[[#This Row],[Data]],"mmmm")</f>
        <v>agosto</v>
      </c>
      <c r="C82" s="18" t="s">
        <v>34</v>
      </c>
      <c r="D82" s="18" t="s">
        <v>13</v>
      </c>
      <c r="E82" s="18" t="s">
        <v>24</v>
      </c>
      <c r="F82" s="18">
        <v>8</v>
      </c>
      <c r="G82" s="19">
        <v>749</v>
      </c>
      <c r="H82" s="19">
        <f t="shared" si="2"/>
        <v>5992</v>
      </c>
    </row>
    <row r="83" spans="1:8" x14ac:dyDescent="0.3">
      <c r="A83" s="16">
        <v>45874</v>
      </c>
      <c r="B83" s="17" t="str">
        <f>TEXT(Dados[[#This Row],[Data]],"mmmm")</f>
        <v>agosto</v>
      </c>
      <c r="C83" s="18" t="s">
        <v>32</v>
      </c>
      <c r="D83" s="18" t="s">
        <v>17</v>
      </c>
      <c r="E83" s="18" t="s">
        <v>25</v>
      </c>
      <c r="F83" s="18">
        <v>3</v>
      </c>
      <c r="G83" s="19">
        <v>159.9</v>
      </c>
      <c r="H83" s="19">
        <f t="shared" si="2"/>
        <v>479.70000000000005</v>
      </c>
    </row>
    <row r="84" spans="1:8" x14ac:dyDescent="0.3">
      <c r="A84" s="16">
        <v>45880</v>
      </c>
      <c r="B84" s="17" t="str">
        <f>TEXT(Dados[[#This Row],[Data]],"mmmm")</f>
        <v>agosto</v>
      </c>
      <c r="C84" s="18" t="s">
        <v>34</v>
      </c>
      <c r="D84" s="18" t="s">
        <v>17</v>
      </c>
      <c r="E84" s="18" t="s">
        <v>25</v>
      </c>
      <c r="F84" s="18">
        <v>1</v>
      </c>
      <c r="G84" s="19">
        <v>159.9</v>
      </c>
      <c r="H84" s="19">
        <f t="shared" si="2"/>
        <v>159.9</v>
      </c>
    </row>
    <row r="85" spans="1:8" x14ac:dyDescent="0.3">
      <c r="A85" s="16">
        <v>45887</v>
      </c>
      <c r="B85" s="17" t="str">
        <f>TEXT(Dados[[#This Row],[Data]],"mmmm")</f>
        <v>agosto</v>
      </c>
      <c r="C85" s="18" t="s">
        <v>32</v>
      </c>
      <c r="D85" s="18" t="s">
        <v>13</v>
      </c>
      <c r="E85" s="18" t="s">
        <v>24</v>
      </c>
      <c r="F85" s="18">
        <v>13</v>
      </c>
      <c r="G85" s="19">
        <v>749</v>
      </c>
      <c r="H85" s="19">
        <f t="shared" si="2"/>
        <v>9737</v>
      </c>
    </row>
    <row r="86" spans="1:8" x14ac:dyDescent="0.3">
      <c r="A86" s="16">
        <v>45890</v>
      </c>
      <c r="B86" s="17" t="str">
        <f>TEXT(Dados[[#This Row],[Data]],"mmmm")</f>
        <v>agosto</v>
      </c>
      <c r="C86" s="18" t="s">
        <v>33</v>
      </c>
      <c r="D86" s="18" t="s">
        <v>15</v>
      </c>
      <c r="E86" s="18" t="s">
        <v>23</v>
      </c>
      <c r="F86" s="18">
        <v>6</v>
      </c>
      <c r="G86" s="19">
        <v>249.9</v>
      </c>
      <c r="H86" s="19">
        <f t="shared" si="2"/>
        <v>1499.4</v>
      </c>
    </row>
    <row r="87" spans="1:8" x14ac:dyDescent="0.3">
      <c r="A87" s="16">
        <v>45894</v>
      </c>
      <c r="B87" s="17" t="str">
        <f>TEXT(Dados[[#This Row],[Data]],"mmmm")</f>
        <v>agosto</v>
      </c>
      <c r="C87" s="18" t="s">
        <v>36</v>
      </c>
      <c r="D87" s="18" t="s">
        <v>13</v>
      </c>
      <c r="E87" s="18" t="s">
        <v>24</v>
      </c>
      <c r="F87" s="18">
        <v>15</v>
      </c>
      <c r="G87" s="19">
        <v>749</v>
      </c>
      <c r="H87" s="19">
        <f t="shared" si="2"/>
        <v>11235</v>
      </c>
    </row>
    <row r="88" spans="1:8" x14ac:dyDescent="0.3">
      <c r="A88" s="16">
        <v>45900</v>
      </c>
      <c r="B88" s="17" t="str">
        <f>TEXT(Dados[[#This Row],[Data]],"mmmm")</f>
        <v>agosto</v>
      </c>
      <c r="C88" s="18" t="s">
        <v>34</v>
      </c>
      <c r="D88" s="18" t="s">
        <v>17</v>
      </c>
      <c r="E88" s="18" t="s">
        <v>25</v>
      </c>
      <c r="F88" s="18">
        <v>13</v>
      </c>
      <c r="G88" s="19">
        <v>159.9</v>
      </c>
      <c r="H88" s="19">
        <f t="shared" si="2"/>
        <v>2078.7000000000003</v>
      </c>
    </row>
    <row r="89" spans="1:8" x14ac:dyDescent="0.3">
      <c r="A89" s="16">
        <v>45902</v>
      </c>
      <c r="B89" s="17" t="str">
        <f>TEXT(Dados[[#This Row],[Data]],"mmmm")</f>
        <v>setembro</v>
      </c>
      <c r="C89" s="18" t="s">
        <v>32</v>
      </c>
      <c r="D89" s="18" t="s">
        <v>16</v>
      </c>
      <c r="E89" s="18" t="s">
        <v>25</v>
      </c>
      <c r="F89" s="18">
        <v>3</v>
      </c>
      <c r="G89" s="19">
        <v>199.9</v>
      </c>
      <c r="H89" s="19">
        <f t="shared" si="2"/>
        <v>599.70000000000005</v>
      </c>
    </row>
    <row r="90" spans="1:8" x14ac:dyDescent="0.3">
      <c r="A90" s="16">
        <v>45904</v>
      </c>
      <c r="B90" s="17" t="str">
        <f>TEXT(Dados[[#This Row],[Data]],"mmmm")</f>
        <v>setembro</v>
      </c>
      <c r="C90" s="18" t="s">
        <v>34</v>
      </c>
      <c r="D90" s="18" t="s">
        <v>19</v>
      </c>
      <c r="E90" s="18" t="s">
        <v>24</v>
      </c>
      <c r="F90" s="18">
        <v>15</v>
      </c>
      <c r="G90" s="19">
        <v>129.9</v>
      </c>
      <c r="H90" s="19">
        <f t="shared" si="2"/>
        <v>1948.5</v>
      </c>
    </row>
    <row r="91" spans="1:8" x14ac:dyDescent="0.3">
      <c r="A91" s="16">
        <v>45906</v>
      </c>
      <c r="B91" s="17" t="str">
        <f>TEXT(Dados[[#This Row],[Data]],"mmmm")</f>
        <v>setembro</v>
      </c>
      <c r="C91" s="18" t="s">
        <v>35</v>
      </c>
      <c r="D91" s="18" t="s">
        <v>16</v>
      </c>
      <c r="E91" s="18" t="s">
        <v>25</v>
      </c>
      <c r="F91" s="18">
        <v>13</v>
      </c>
      <c r="G91" s="19">
        <v>199.9</v>
      </c>
      <c r="H91" s="19">
        <f t="shared" si="2"/>
        <v>2598.7000000000003</v>
      </c>
    </row>
    <row r="92" spans="1:8" x14ac:dyDescent="0.3">
      <c r="A92" s="16">
        <v>45908</v>
      </c>
      <c r="B92" s="17" t="str">
        <f>TEXT(Dados[[#This Row],[Data]],"mmmm")</f>
        <v>setembro</v>
      </c>
      <c r="C92" s="18" t="s">
        <v>33</v>
      </c>
      <c r="D92" s="18" t="s">
        <v>11</v>
      </c>
      <c r="E92" s="18" t="s">
        <v>23</v>
      </c>
      <c r="F92" s="18">
        <v>2</v>
      </c>
      <c r="G92" s="19">
        <v>3200</v>
      </c>
      <c r="H92" s="19">
        <f t="shared" si="2"/>
        <v>6400</v>
      </c>
    </row>
    <row r="93" spans="1:8" x14ac:dyDescent="0.3">
      <c r="A93" s="16">
        <v>45922</v>
      </c>
      <c r="B93" s="17" t="str">
        <f>TEXT(Dados[[#This Row],[Data]],"mmmm")</f>
        <v>setembro</v>
      </c>
      <c r="C93" s="18" t="s">
        <v>36</v>
      </c>
      <c r="D93" s="18" t="s">
        <v>18</v>
      </c>
      <c r="E93" s="18" t="s">
        <v>23</v>
      </c>
      <c r="F93" s="18">
        <v>4</v>
      </c>
      <c r="G93" s="19">
        <v>89.9</v>
      </c>
      <c r="H93" s="19">
        <f t="shared" si="2"/>
        <v>359.6</v>
      </c>
    </row>
    <row r="94" spans="1:8" x14ac:dyDescent="0.3">
      <c r="A94" s="16">
        <v>45928</v>
      </c>
      <c r="B94" s="17" t="str">
        <f>TEXT(Dados[[#This Row],[Data]],"mmmm")</f>
        <v>setembro</v>
      </c>
      <c r="C94" s="18" t="s">
        <v>33</v>
      </c>
      <c r="D94" s="18" t="s">
        <v>16</v>
      </c>
      <c r="E94" s="18" t="s">
        <v>25</v>
      </c>
      <c r="F94" s="18">
        <v>14</v>
      </c>
      <c r="G94" s="19">
        <v>199.9</v>
      </c>
      <c r="H94" s="19">
        <f t="shared" si="2"/>
        <v>2798.6</v>
      </c>
    </row>
    <row r="95" spans="1:8" x14ac:dyDescent="0.3">
      <c r="A95" s="16">
        <v>45934</v>
      </c>
      <c r="B95" s="17" t="str">
        <f>TEXT(Dados[[#This Row],[Data]],"mmmm")</f>
        <v>outubro</v>
      </c>
      <c r="C95" s="18" t="s">
        <v>34</v>
      </c>
      <c r="D95" s="18" t="s">
        <v>13</v>
      </c>
      <c r="E95" s="18" t="s">
        <v>24</v>
      </c>
      <c r="F95" s="18">
        <v>7</v>
      </c>
      <c r="G95" s="19">
        <v>749</v>
      </c>
      <c r="H95" s="19">
        <f t="shared" si="2"/>
        <v>5243</v>
      </c>
    </row>
    <row r="96" spans="1:8" x14ac:dyDescent="0.3">
      <c r="A96" s="16">
        <v>45934</v>
      </c>
      <c r="B96" s="17" t="str">
        <f>TEXT(Dados[[#This Row],[Data]],"mmmm")</f>
        <v>outubro</v>
      </c>
      <c r="C96" s="18" t="s">
        <v>34</v>
      </c>
      <c r="D96" s="18" t="s">
        <v>20</v>
      </c>
      <c r="E96" s="18" t="s">
        <v>25</v>
      </c>
      <c r="F96" s="18">
        <v>10</v>
      </c>
      <c r="G96" s="19">
        <v>79.900000000000006</v>
      </c>
      <c r="H96" s="19">
        <f t="shared" si="2"/>
        <v>799</v>
      </c>
    </row>
    <row r="97" spans="1:8" x14ac:dyDescent="0.3">
      <c r="A97" s="16">
        <v>45934</v>
      </c>
      <c r="B97" s="17" t="str">
        <f>TEXT(Dados[[#This Row],[Data]],"mmmm")</f>
        <v>outubro</v>
      </c>
      <c r="C97" s="18" t="s">
        <v>35</v>
      </c>
      <c r="D97" s="18" t="s">
        <v>18</v>
      </c>
      <c r="E97" s="18" t="s">
        <v>23</v>
      </c>
      <c r="F97" s="18">
        <v>15</v>
      </c>
      <c r="G97" s="19">
        <v>89.9</v>
      </c>
      <c r="H97" s="19">
        <f t="shared" si="2"/>
        <v>1348.5</v>
      </c>
    </row>
    <row r="98" spans="1:8" x14ac:dyDescent="0.3">
      <c r="A98" s="16">
        <v>45936</v>
      </c>
      <c r="B98" s="17" t="str">
        <f>TEXT(Dados[[#This Row],[Data]],"mmmm")</f>
        <v>outubro</v>
      </c>
      <c r="C98" s="18" t="s">
        <v>33</v>
      </c>
      <c r="D98" s="18" t="s">
        <v>20</v>
      </c>
      <c r="E98" s="18" t="s">
        <v>25</v>
      </c>
      <c r="F98" s="18">
        <v>13</v>
      </c>
      <c r="G98" s="19">
        <v>79.900000000000006</v>
      </c>
      <c r="H98" s="19">
        <f t="shared" ref="H98:H121" si="3">F98*G98</f>
        <v>1038.7</v>
      </c>
    </row>
    <row r="99" spans="1:8" x14ac:dyDescent="0.3">
      <c r="A99" s="16">
        <v>45939</v>
      </c>
      <c r="B99" s="17" t="str">
        <f>TEXT(Dados[[#This Row],[Data]],"mmmm")</f>
        <v>outubro</v>
      </c>
      <c r="C99" s="18" t="s">
        <v>35</v>
      </c>
      <c r="D99" s="18" t="s">
        <v>11</v>
      </c>
      <c r="E99" s="18" t="s">
        <v>23</v>
      </c>
      <c r="F99" s="18">
        <v>11</v>
      </c>
      <c r="G99" s="19">
        <v>3200</v>
      </c>
      <c r="H99" s="19">
        <f t="shared" si="3"/>
        <v>35200</v>
      </c>
    </row>
    <row r="100" spans="1:8" x14ac:dyDescent="0.3">
      <c r="A100" s="16">
        <v>45941</v>
      </c>
      <c r="B100" s="17" t="str">
        <f>TEXT(Dados[[#This Row],[Data]],"mmmm")</f>
        <v>outubro</v>
      </c>
      <c r="C100" s="18" t="s">
        <v>33</v>
      </c>
      <c r="D100" s="18" t="s">
        <v>18</v>
      </c>
      <c r="E100" s="18" t="s">
        <v>23</v>
      </c>
      <c r="F100" s="18">
        <v>15</v>
      </c>
      <c r="G100" s="19">
        <v>89.9</v>
      </c>
      <c r="H100" s="19">
        <f t="shared" si="3"/>
        <v>1348.5</v>
      </c>
    </row>
    <row r="101" spans="1:8" x14ac:dyDescent="0.3">
      <c r="A101" s="16">
        <v>45946</v>
      </c>
      <c r="B101" s="17" t="str">
        <f>TEXT(Dados[[#This Row],[Data]],"mmmm")</f>
        <v>outubro</v>
      </c>
      <c r="C101" s="18" t="s">
        <v>35</v>
      </c>
      <c r="D101" s="18" t="s">
        <v>18</v>
      </c>
      <c r="E101" s="18" t="s">
        <v>23</v>
      </c>
      <c r="F101" s="18">
        <v>9</v>
      </c>
      <c r="G101" s="19">
        <v>89.9</v>
      </c>
      <c r="H101" s="19">
        <f t="shared" si="3"/>
        <v>809.1</v>
      </c>
    </row>
    <row r="102" spans="1:8" x14ac:dyDescent="0.3">
      <c r="A102" s="16">
        <v>45948</v>
      </c>
      <c r="B102" s="17" t="str">
        <f>TEXT(Dados[[#This Row],[Data]],"mmmm")</f>
        <v>outubro</v>
      </c>
      <c r="C102" s="18" t="s">
        <v>35</v>
      </c>
      <c r="D102" s="18" t="s">
        <v>18</v>
      </c>
      <c r="E102" s="18" t="s">
        <v>23</v>
      </c>
      <c r="F102" s="18">
        <v>12</v>
      </c>
      <c r="G102" s="19">
        <v>89.9</v>
      </c>
      <c r="H102" s="19">
        <f t="shared" si="3"/>
        <v>1078.8000000000002</v>
      </c>
    </row>
    <row r="103" spans="1:8" x14ac:dyDescent="0.3">
      <c r="A103" s="16">
        <v>45949</v>
      </c>
      <c r="B103" s="17" t="str">
        <f>TEXT(Dados[[#This Row],[Data]],"mmmm")</f>
        <v>outubro</v>
      </c>
      <c r="C103" s="18" t="s">
        <v>34</v>
      </c>
      <c r="D103" s="18" t="s">
        <v>20</v>
      </c>
      <c r="E103" s="18" t="s">
        <v>25</v>
      </c>
      <c r="F103" s="18">
        <v>10</v>
      </c>
      <c r="G103" s="19">
        <v>79.900000000000006</v>
      </c>
      <c r="H103" s="19">
        <f t="shared" si="3"/>
        <v>799</v>
      </c>
    </row>
    <row r="104" spans="1:8" x14ac:dyDescent="0.3">
      <c r="A104" s="16">
        <v>45954</v>
      </c>
      <c r="B104" s="17" t="str">
        <f>TEXT(Dados[[#This Row],[Data]],"mmmm")</f>
        <v>outubro</v>
      </c>
      <c r="C104" s="18" t="s">
        <v>32</v>
      </c>
      <c r="D104" s="18" t="s">
        <v>11</v>
      </c>
      <c r="E104" s="18" t="s">
        <v>23</v>
      </c>
      <c r="F104" s="18">
        <v>12</v>
      </c>
      <c r="G104" s="19">
        <v>3200</v>
      </c>
      <c r="H104" s="19">
        <f t="shared" si="3"/>
        <v>38400</v>
      </c>
    </row>
    <row r="105" spans="1:8" x14ac:dyDescent="0.3">
      <c r="A105" s="16">
        <v>45956</v>
      </c>
      <c r="B105" s="17" t="str">
        <f>TEXT(Dados[[#This Row],[Data]],"mmmm")</f>
        <v>outubro</v>
      </c>
      <c r="C105" s="18" t="s">
        <v>36</v>
      </c>
      <c r="D105" s="18" t="s">
        <v>14</v>
      </c>
      <c r="E105" s="18" t="s">
        <v>24</v>
      </c>
      <c r="F105" s="18">
        <v>4</v>
      </c>
      <c r="G105" s="19">
        <v>599</v>
      </c>
      <c r="H105" s="19">
        <f t="shared" si="3"/>
        <v>2396</v>
      </c>
    </row>
    <row r="106" spans="1:8" x14ac:dyDescent="0.3">
      <c r="A106" s="16">
        <v>45959</v>
      </c>
      <c r="B106" s="17" t="str">
        <f>TEXT(Dados[[#This Row],[Data]],"mmmm")</f>
        <v>outubro</v>
      </c>
      <c r="C106" s="18" t="s">
        <v>32</v>
      </c>
      <c r="D106" s="18" t="s">
        <v>12</v>
      </c>
      <c r="E106" s="18" t="s">
        <v>23</v>
      </c>
      <c r="F106" s="18">
        <v>10</v>
      </c>
      <c r="G106" s="19">
        <v>899</v>
      </c>
      <c r="H106" s="19">
        <f t="shared" si="3"/>
        <v>8990</v>
      </c>
    </row>
    <row r="107" spans="1:8" x14ac:dyDescent="0.3">
      <c r="A107" s="16">
        <v>45968</v>
      </c>
      <c r="B107" s="17" t="str">
        <f>TEXT(Dados[[#This Row],[Data]],"mmmm")</f>
        <v>novembro</v>
      </c>
      <c r="C107" s="18" t="s">
        <v>36</v>
      </c>
      <c r="D107" s="18" t="s">
        <v>12</v>
      </c>
      <c r="E107" s="18" t="s">
        <v>23</v>
      </c>
      <c r="F107" s="18">
        <v>15</v>
      </c>
      <c r="G107" s="19">
        <v>899</v>
      </c>
      <c r="H107" s="19">
        <f t="shared" si="3"/>
        <v>13485</v>
      </c>
    </row>
    <row r="108" spans="1:8" x14ac:dyDescent="0.3">
      <c r="A108" s="16">
        <v>45981</v>
      </c>
      <c r="B108" s="17" t="str">
        <f>TEXT(Dados[[#This Row],[Data]],"mmmm")</f>
        <v>novembro</v>
      </c>
      <c r="C108" s="18" t="s">
        <v>35</v>
      </c>
      <c r="D108" s="18" t="s">
        <v>12</v>
      </c>
      <c r="E108" s="18" t="s">
        <v>23</v>
      </c>
      <c r="F108" s="18">
        <v>2</v>
      </c>
      <c r="G108" s="19">
        <v>899</v>
      </c>
      <c r="H108" s="19">
        <f t="shared" si="3"/>
        <v>1798</v>
      </c>
    </row>
    <row r="109" spans="1:8" x14ac:dyDescent="0.3">
      <c r="A109" s="16">
        <v>45982</v>
      </c>
      <c r="B109" s="17" t="str">
        <f>TEXT(Dados[[#This Row],[Data]],"mmmm")</f>
        <v>novembro</v>
      </c>
      <c r="C109" s="18" t="s">
        <v>36</v>
      </c>
      <c r="D109" s="18" t="s">
        <v>13</v>
      </c>
      <c r="E109" s="18" t="s">
        <v>24</v>
      </c>
      <c r="F109" s="18">
        <v>1</v>
      </c>
      <c r="G109" s="19">
        <v>749</v>
      </c>
      <c r="H109" s="19">
        <f t="shared" si="3"/>
        <v>749</v>
      </c>
    </row>
    <row r="110" spans="1:8" x14ac:dyDescent="0.3">
      <c r="A110" s="16">
        <v>45985</v>
      </c>
      <c r="B110" s="17" t="str">
        <f>TEXT(Dados[[#This Row],[Data]],"mmmm")</f>
        <v>novembro</v>
      </c>
      <c r="C110" s="18" t="s">
        <v>35</v>
      </c>
      <c r="D110" s="18" t="s">
        <v>11</v>
      </c>
      <c r="E110" s="18" t="s">
        <v>23</v>
      </c>
      <c r="F110" s="18">
        <v>12</v>
      </c>
      <c r="G110" s="19">
        <v>3200</v>
      </c>
      <c r="H110" s="19">
        <f t="shared" si="3"/>
        <v>38400</v>
      </c>
    </row>
    <row r="111" spans="1:8" x14ac:dyDescent="0.3">
      <c r="A111" s="16">
        <v>45985</v>
      </c>
      <c r="B111" s="17" t="str">
        <f>TEXT(Dados[[#This Row],[Data]],"mmmm")</f>
        <v>novembro</v>
      </c>
      <c r="C111" s="18" t="s">
        <v>32</v>
      </c>
      <c r="D111" s="18" t="s">
        <v>12</v>
      </c>
      <c r="E111" s="18" t="s">
        <v>23</v>
      </c>
      <c r="F111" s="18">
        <v>11</v>
      </c>
      <c r="G111" s="19">
        <v>899</v>
      </c>
      <c r="H111" s="19">
        <f t="shared" si="3"/>
        <v>9889</v>
      </c>
    </row>
    <row r="112" spans="1:8" x14ac:dyDescent="0.3">
      <c r="A112" s="16">
        <v>45987</v>
      </c>
      <c r="B112" s="17" t="str">
        <f>TEXT(Dados[[#This Row],[Data]],"mmmm")</f>
        <v>novembro</v>
      </c>
      <c r="C112" s="18" t="s">
        <v>36</v>
      </c>
      <c r="D112" s="18" t="s">
        <v>15</v>
      </c>
      <c r="E112" s="18" t="s">
        <v>23</v>
      </c>
      <c r="F112" s="18">
        <v>5</v>
      </c>
      <c r="G112" s="19">
        <v>249.9</v>
      </c>
      <c r="H112" s="19">
        <f t="shared" si="3"/>
        <v>1249.5</v>
      </c>
    </row>
    <row r="113" spans="1:8" x14ac:dyDescent="0.3">
      <c r="A113" s="16">
        <v>45990</v>
      </c>
      <c r="B113" s="17" t="str">
        <f>TEXT(Dados[[#This Row],[Data]],"mmmm")</f>
        <v>novembro</v>
      </c>
      <c r="C113" s="18" t="s">
        <v>32</v>
      </c>
      <c r="D113" s="18" t="s">
        <v>19</v>
      </c>
      <c r="E113" s="18" t="s">
        <v>24</v>
      </c>
      <c r="F113" s="18">
        <v>4</v>
      </c>
      <c r="G113" s="19">
        <v>129.9</v>
      </c>
      <c r="H113" s="19">
        <f t="shared" si="3"/>
        <v>519.6</v>
      </c>
    </row>
    <row r="114" spans="1:8" x14ac:dyDescent="0.3">
      <c r="A114" s="16">
        <v>45992</v>
      </c>
      <c r="B114" s="17" t="str">
        <f>TEXT(Dados[[#This Row],[Data]],"mmmm")</f>
        <v>dezembro</v>
      </c>
      <c r="C114" s="18" t="s">
        <v>35</v>
      </c>
      <c r="D114" s="18" t="s">
        <v>11</v>
      </c>
      <c r="E114" s="18" t="s">
        <v>23</v>
      </c>
      <c r="F114" s="18">
        <v>7</v>
      </c>
      <c r="G114" s="19">
        <v>3200</v>
      </c>
      <c r="H114" s="19">
        <f t="shared" si="3"/>
        <v>22400</v>
      </c>
    </row>
    <row r="115" spans="1:8" x14ac:dyDescent="0.3">
      <c r="A115" s="16">
        <v>45992</v>
      </c>
      <c r="B115" s="17" t="str">
        <f>TEXT(Dados[[#This Row],[Data]],"mmmm")</f>
        <v>dezembro</v>
      </c>
      <c r="C115" s="18" t="s">
        <v>32</v>
      </c>
      <c r="D115" s="18" t="s">
        <v>11</v>
      </c>
      <c r="E115" s="18" t="s">
        <v>23</v>
      </c>
      <c r="F115" s="18">
        <v>11</v>
      </c>
      <c r="G115" s="19">
        <v>3200</v>
      </c>
      <c r="H115" s="19">
        <f t="shared" si="3"/>
        <v>35200</v>
      </c>
    </row>
    <row r="116" spans="1:8" x14ac:dyDescent="0.3">
      <c r="A116" s="16">
        <v>45994</v>
      </c>
      <c r="B116" s="17" t="str">
        <f>TEXT(Dados[[#This Row],[Data]],"mmmm")</f>
        <v>dezembro</v>
      </c>
      <c r="C116" s="18" t="s">
        <v>32</v>
      </c>
      <c r="D116" s="18" t="s">
        <v>20</v>
      </c>
      <c r="E116" s="18" t="s">
        <v>25</v>
      </c>
      <c r="F116" s="18">
        <v>9</v>
      </c>
      <c r="G116" s="19">
        <v>79.900000000000006</v>
      </c>
      <c r="H116" s="19">
        <f t="shared" si="3"/>
        <v>719.1</v>
      </c>
    </row>
    <row r="117" spans="1:8" x14ac:dyDescent="0.3">
      <c r="A117" s="16">
        <v>45995</v>
      </c>
      <c r="B117" s="17" t="str">
        <f>TEXT(Dados[[#This Row],[Data]],"mmmm")</f>
        <v>dezembro</v>
      </c>
      <c r="C117" s="18" t="s">
        <v>36</v>
      </c>
      <c r="D117" s="18" t="s">
        <v>14</v>
      </c>
      <c r="E117" s="18" t="s">
        <v>24</v>
      </c>
      <c r="F117" s="18">
        <v>7</v>
      </c>
      <c r="G117" s="19">
        <v>599</v>
      </c>
      <c r="H117" s="19">
        <f t="shared" si="3"/>
        <v>4193</v>
      </c>
    </row>
    <row r="118" spans="1:8" x14ac:dyDescent="0.3">
      <c r="A118" s="16">
        <v>46001</v>
      </c>
      <c r="B118" s="17" t="str">
        <f>TEXT(Dados[[#This Row],[Data]],"mmmm")</f>
        <v>dezembro</v>
      </c>
      <c r="C118" s="18" t="s">
        <v>33</v>
      </c>
      <c r="D118" s="18" t="s">
        <v>17</v>
      </c>
      <c r="E118" s="18" t="s">
        <v>25</v>
      </c>
      <c r="F118" s="18">
        <v>15</v>
      </c>
      <c r="G118" s="19">
        <v>159.9</v>
      </c>
      <c r="H118" s="19">
        <f t="shared" si="3"/>
        <v>2398.5</v>
      </c>
    </row>
    <row r="119" spans="1:8" x14ac:dyDescent="0.3">
      <c r="A119" s="16">
        <v>46003</v>
      </c>
      <c r="B119" s="17" t="str">
        <f>TEXT(Dados[[#This Row],[Data]],"mmmm")</f>
        <v>dezembro</v>
      </c>
      <c r="C119" s="18" t="s">
        <v>34</v>
      </c>
      <c r="D119" s="18" t="s">
        <v>19</v>
      </c>
      <c r="E119" s="18" t="s">
        <v>24</v>
      </c>
      <c r="F119" s="18">
        <v>2</v>
      </c>
      <c r="G119" s="19">
        <v>129.9</v>
      </c>
      <c r="H119" s="19">
        <f t="shared" si="3"/>
        <v>259.8</v>
      </c>
    </row>
    <row r="120" spans="1:8" x14ac:dyDescent="0.3">
      <c r="A120" s="16">
        <v>46007</v>
      </c>
      <c r="B120" s="17" t="str">
        <f>TEXT(Dados[[#This Row],[Data]],"mmmm")</f>
        <v>dezembro</v>
      </c>
      <c r="C120" s="18" t="s">
        <v>35</v>
      </c>
      <c r="D120" s="18" t="s">
        <v>20</v>
      </c>
      <c r="E120" s="18" t="s">
        <v>25</v>
      </c>
      <c r="F120" s="18">
        <v>11</v>
      </c>
      <c r="G120" s="19">
        <v>79.900000000000006</v>
      </c>
      <c r="H120" s="19">
        <f t="shared" si="3"/>
        <v>878.90000000000009</v>
      </c>
    </row>
    <row r="121" spans="1:8" x14ac:dyDescent="0.3">
      <c r="A121" s="16">
        <v>46019</v>
      </c>
      <c r="B121" s="17" t="str">
        <f>TEXT(Dados[[#This Row],[Data]],"mmmm")</f>
        <v>dezembro</v>
      </c>
      <c r="C121" s="18" t="s">
        <v>36</v>
      </c>
      <c r="D121" s="18" t="s">
        <v>16</v>
      </c>
      <c r="E121" s="18" t="s">
        <v>25</v>
      </c>
      <c r="F121" s="18">
        <v>1</v>
      </c>
      <c r="G121" s="19">
        <v>199.9</v>
      </c>
      <c r="H121" s="19">
        <f t="shared" si="3"/>
        <v>199.9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21"/>
  <sheetViews>
    <sheetView zoomScaleNormal="100" workbookViewId="0">
      <selection activeCell="C10" sqref="C10:C21"/>
    </sheetView>
  </sheetViews>
  <sheetFormatPr defaultColWidth="8.6640625" defaultRowHeight="14.4" x14ac:dyDescent="0.3"/>
  <cols>
    <col min="1" max="1" width="12.77734375" customWidth="1"/>
    <col min="2" max="2" width="18.88671875" customWidth="1"/>
    <col min="3" max="3" width="19.33203125" bestFit="1" customWidth="1"/>
  </cols>
  <sheetData>
    <row r="2" spans="1:3" x14ac:dyDescent="0.3">
      <c r="A2" s="20" t="s">
        <v>28</v>
      </c>
      <c r="B2" s="20" t="s">
        <v>37</v>
      </c>
    </row>
    <row r="3" spans="1:3" x14ac:dyDescent="0.3">
      <c r="A3" t="s">
        <v>35</v>
      </c>
      <c r="B3" s="21">
        <f>IF(Dashboard!$C$4="Todos",SUMIF(Dados!$C$2:$C$121,A3,Dados!$H$2:$H$121),SUMPRODUCT((MONTH(Dados!$A$2:$A$121)=Dashboard!$R$4)*(Dados!$C$2:$C$121=A3)*Dados!$H$2:$H$121))</f>
        <v>229320.3</v>
      </c>
    </row>
    <row r="4" spans="1:3" x14ac:dyDescent="0.3">
      <c r="A4" t="s">
        <v>32</v>
      </c>
      <c r="B4" s="21">
        <f>IF(Dashboard!$C$4="Todos",SUMIF(Dados!$C$2:$C$121,A4,Dados!$H$2:$H$121),SUMPRODUCT((MONTH(Dados!$A$2:$A$121)=Dashboard!$R$4)*(Dados!$C$2:$C$121=A4)*Dados!$H$2:$H$121))</f>
        <v>157616.6</v>
      </c>
    </row>
    <row r="5" spans="1:3" x14ac:dyDescent="0.3">
      <c r="A5" t="s">
        <v>34</v>
      </c>
      <c r="B5" s="21">
        <f>IF(Dashboard!$C$4="Todos",SUMIF(Dados!$C$2:$C$121,A5,Dados!$H$2:$H$121),SUMPRODUCT((MONTH(Dados!$A$2:$A$121)=Dashboard!$R$4)*(Dados!$C$2:$C$121=A5)*Dados!$H$2:$H$121))</f>
        <v>100221.40000000001</v>
      </c>
    </row>
    <row r="6" spans="1:3" x14ac:dyDescent="0.3">
      <c r="A6" t="s">
        <v>33</v>
      </c>
      <c r="B6" s="21">
        <f>IF(Dashboard!$C$4="Todos",SUMIF(Dados!$C$2:$C$121,A6,Dados!$H$2:$H$121),SUMPRODUCT((MONTH(Dados!$A$2:$A$121)=Dashboard!$R$4)*(Dados!$C$2:$C$121=A6)*Dados!$H$2:$H$121))</f>
        <v>98439.499999999985</v>
      </c>
    </row>
    <row r="7" spans="1:3" x14ac:dyDescent="0.3">
      <c r="A7" t="s">
        <v>36</v>
      </c>
      <c r="B7" s="21">
        <f>IF(Dashboard!$C$4="Todos",SUMIF(Dados!$C$2:$C$121,A7,Dados!$H$2:$H$121),SUMPRODUCT((MONTH(Dados!$A$2:$A$121)=Dashboard!$R$4)*(Dados!$C$2:$C$121=A7)*Dados!$H$2:$H$121))</f>
        <v>79016</v>
      </c>
    </row>
    <row r="9" spans="1:3" x14ac:dyDescent="0.3">
      <c r="A9" s="25" t="s">
        <v>27</v>
      </c>
      <c r="B9" s="25" t="s">
        <v>42</v>
      </c>
      <c r="C9" s="25" t="s">
        <v>43</v>
      </c>
    </row>
    <row r="10" spans="1:3" x14ac:dyDescent="0.3">
      <c r="A10" s="26" t="s">
        <v>38</v>
      </c>
      <c r="B10" s="26">
        <v>1</v>
      </c>
      <c r="C10" s="27">
        <f>SUMIFS(Dados!$H:$H,Dados!$B:$B,Cálculos!A10)</f>
        <v>41232.400000000001</v>
      </c>
    </row>
    <row r="11" spans="1:3" x14ac:dyDescent="0.3">
      <c r="A11" s="26" t="s">
        <v>44</v>
      </c>
      <c r="B11" s="26">
        <v>2</v>
      </c>
      <c r="C11" s="27">
        <f>SUMIFS(Dados!$H:$H,Dados!$B:$B,Cálculos!A11)</f>
        <v>18182.599999999999</v>
      </c>
    </row>
    <row r="12" spans="1:3" x14ac:dyDescent="0.3">
      <c r="A12" s="26" t="s">
        <v>45</v>
      </c>
      <c r="B12" s="26">
        <v>3</v>
      </c>
      <c r="C12" s="27">
        <f>SUMIFS(Dados!$H:$H,Dados!$B:$B,Cálculos!A12)</f>
        <v>17397.400000000001</v>
      </c>
    </row>
    <row r="13" spans="1:3" x14ac:dyDescent="0.3">
      <c r="A13" s="26" t="s">
        <v>46</v>
      </c>
      <c r="B13" s="26">
        <v>4</v>
      </c>
      <c r="C13" s="27">
        <f>SUMIFS(Dados!$H:$H,Dados!$B:$B,Cálculos!A13)</f>
        <v>52357.4</v>
      </c>
    </row>
    <row r="14" spans="1:3" x14ac:dyDescent="0.3">
      <c r="A14" s="26" t="s">
        <v>47</v>
      </c>
      <c r="B14" s="26">
        <v>5</v>
      </c>
      <c r="C14" s="27">
        <f>SUMIFS(Dados!$H:$H,Dados!$B:$B,Cálculos!A14)</f>
        <v>48431.9</v>
      </c>
    </row>
    <row r="15" spans="1:3" x14ac:dyDescent="0.3">
      <c r="A15" s="26" t="s">
        <v>48</v>
      </c>
      <c r="B15" s="26">
        <v>6</v>
      </c>
      <c r="C15" s="27">
        <f>SUMIFS(Dados!$H:$H,Dados!$B:$B,Cálculos!A15)</f>
        <v>142492.6</v>
      </c>
    </row>
    <row r="16" spans="1:3" x14ac:dyDescent="0.3">
      <c r="A16" s="26" t="s">
        <v>49</v>
      </c>
      <c r="B16" s="26">
        <v>7</v>
      </c>
      <c r="C16" s="27">
        <f>SUMIFS(Dados!$H:$H,Dados!$B:$B,Cálculos!A16)</f>
        <v>62442.8</v>
      </c>
    </row>
    <row r="17" spans="1:3" x14ac:dyDescent="0.3">
      <c r="A17" s="26" t="s">
        <v>50</v>
      </c>
      <c r="B17" s="26">
        <v>8</v>
      </c>
      <c r="C17" s="27">
        <f>SUMIFS(Dados!$H:$H,Dados!$B:$B,Cálculos!A17)</f>
        <v>37581.699999999997</v>
      </c>
    </row>
    <row r="18" spans="1:3" x14ac:dyDescent="0.3">
      <c r="A18" s="26" t="s">
        <v>51</v>
      </c>
      <c r="B18" s="26">
        <v>9</v>
      </c>
      <c r="C18" s="27">
        <f>SUMIFS(Dados!$H:$H,Dados!$B:$B,Cálculos!A18)</f>
        <v>14705.1</v>
      </c>
    </row>
    <row r="19" spans="1:3" x14ac:dyDescent="0.3">
      <c r="A19" s="26" t="s">
        <v>52</v>
      </c>
      <c r="B19" s="26">
        <v>10</v>
      </c>
      <c r="C19" s="27">
        <f>SUMIFS(Dados!$H:$H,Dados!$B:$B,Cálculos!A19)</f>
        <v>97450.6</v>
      </c>
    </row>
    <row r="20" spans="1:3" x14ac:dyDescent="0.3">
      <c r="A20" s="26" t="s">
        <v>53</v>
      </c>
      <c r="B20" s="26">
        <v>11</v>
      </c>
      <c r="C20" s="27">
        <f>SUMIFS(Dados!$H:$H,Dados!$B:$B,Cálculos!A20)</f>
        <v>66090.100000000006</v>
      </c>
    </row>
    <row r="21" spans="1:3" x14ac:dyDescent="0.3">
      <c r="A21" s="26" t="s">
        <v>54</v>
      </c>
      <c r="B21" s="26">
        <v>12</v>
      </c>
      <c r="C21" s="27">
        <f>SUMIFS(Dados!$H:$H,Dados!$B:$B,Cálculos!A21)</f>
        <v>66249.2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Dados</vt:lpstr>
      <vt:lpstr>Cálculos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Thais Gonçalves</cp:lastModifiedBy>
  <cp:revision>1</cp:revision>
  <dcterms:created xsi:type="dcterms:W3CDTF">2026-07-14T23:51:12Z</dcterms:created>
  <dcterms:modified xsi:type="dcterms:W3CDTF">2026-07-31T01:51:23Z</dcterms:modified>
  <dc:language>en-US</dc:language>
</cp:coreProperties>
</file>